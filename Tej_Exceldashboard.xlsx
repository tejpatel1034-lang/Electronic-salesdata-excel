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cfd06f4b23d508c/Desktop/"/>
    </mc:Choice>
  </mc:AlternateContent>
  <xr:revisionPtr revIDLastSave="0" documentId="8_{22E00B92-17B0-4297-84D9-73BF00F0E02F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Raw_Data" sheetId="1" r:id="rId1"/>
    <sheet name="Clean_Data" sheetId="2" r:id="rId2"/>
    <sheet name="Analysis" sheetId="3" r:id="rId3"/>
    <sheet name="Summary output" sheetId="4" r:id="rId4"/>
    <sheet name="Pivot_Reports" sheetId="5" r:id="rId5"/>
    <sheet name="Lists" sheetId="6" r:id="rId6"/>
    <sheet name="Dashboard" sheetId="7" r:id="rId7"/>
    <sheet name="Documentation" sheetId="8" r:id="rId8"/>
  </sheets>
  <definedNames>
    <definedName name="_xlcn.WorksheetConnection_Tej_Patel_ExcelDashboard.xlsxCleanSalesTable1" hidden="1">CleanSalesTable[]</definedName>
    <definedName name="Slicer_Category">#N/A</definedName>
    <definedName name="Slicer_Month">#N/A</definedName>
    <definedName name="Slicer_Payment_Mode">#N/A</definedName>
    <definedName name="Slicer_Region">#N/A</definedName>
    <definedName name="Slicer_Salesperson">#N/A</definedName>
    <definedName name="Slicer_State">#N/A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6" i="7" l="1"/>
  <c r="B96" i="7"/>
  <c r="C95" i="7"/>
  <c r="B95" i="7"/>
  <c r="C94" i="7"/>
  <c r="B94" i="7"/>
  <c r="C93" i="7"/>
  <c r="B93" i="7"/>
  <c r="C92" i="7"/>
  <c r="B92" i="7"/>
  <c r="C91" i="7"/>
  <c r="B91" i="7"/>
  <c r="E18" i="7"/>
  <c r="B18" i="7"/>
  <c r="E17" i="7"/>
  <c r="B17" i="7"/>
  <c r="E16" i="7"/>
  <c r="B16" i="7"/>
  <c r="E15" i="7"/>
  <c r="B15" i="7"/>
  <c r="E14" i="7"/>
  <c r="B14" i="7"/>
  <c r="D9" i="7"/>
  <c r="J5" i="7"/>
  <c r="D5" i="7"/>
  <c r="C38" i="5"/>
  <c r="B38" i="5"/>
  <c r="C37" i="5"/>
  <c r="B37" i="5"/>
  <c r="C36" i="5"/>
  <c r="B36" i="5"/>
  <c r="C35" i="5"/>
  <c r="B35" i="5"/>
  <c r="C34" i="5"/>
  <c r="B34" i="5"/>
  <c r="C33" i="5"/>
  <c r="B33" i="5"/>
  <c r="G13" i="5"/>
  <c r="G12" i="5"/>
  <c r="G11" i="5"/>
  <c r="G10" i="5"/>
  <c r="G9" i="5"/>
  <c r="B12" i="3"/>
  <c r="B10" i="3"/>
  <c r="I5" i="5" s="1"/>
  <c r="B9" i="3"/>
  <c r="G5" i="5" s="1"/>
  <c r="B8" i="3"/>
  <c r="E5" i="5" s="1"/>
  <c r="B7" i="3"/>
  <c r="K5" i="5" s="1"/>
  <c r="H5" i="3"/>
  <c r="F5" i="3"/>
  <c r="E5" i="3"/>
  <c r="G5" i="3" s="1"/>
  <c r="B5" i="3"/>
  <c r="A5" i="5" s="1"/>
  <c r="R324" i="2"/>
  <c r="P324" i="2"/>
  <c r="M324" i="2"/>
  <c r="Q324" i="2" s="1"/>
  <c r="R323" i="2"/>
  <c r="Q323" i="2"/>
  <c r="P323" i="2"/>
  <c r="M323" i="2"/>
  <c r="R322" i="2"/>
  <c r="Q322" i="2"/>
  <c r="P322" i="2"/>
  <c r="M322" i="2"/>
  <c r="R321" i="2"/>
  <c r="P321" i="2"/>
  <c r="M321" i="2"/>
  <c r="Q321" i="2" s="1"/>
  <c r="R320" i="2"/>
  <c r="P320" i="2"/>
  <c r="M320" i="2"/>
  <c r="Q320" i="2" s="1"/>
  <c r="R319" i="2"/>
  <c r="P319" i="2"/>
  <c r="M319" i="2"/>
  <c r="Q319" i="2" s="1"/>
  <c r="R318" i="2"/>
  <c r="P318" i="2"/>
  <c r="M318" i="2"/>
  <c r="Q318" i="2" s="1"/>
  <c r="R317" i="2"/>
  <c r="P317" i="2"/>
  <c r="M317" i="2"/>
  <c r="Q317" i="2" s="1"/>
  <c r="R316" i="2"/>
  <c r="Q316" i="2"/>
  <c r="P316" i="2"/>
  <c r="M316" i="2"/>
  <c r="R315" i="2"/>
  <c r="P315" i="2"/>
  <c r="M315" i="2"/>
  <c r="Q315" i="2" s="1"/>
  <c r="R314" i="2"/>
  <c r="P314" i="2"/>
  <c r="M314" i="2"/>
  <c r="Q314" i="2" s="1"/>
  <c r="R313" i="2"/>
  <c r="Q313" i="2"/>
  <c r="P313" i="2"/>
  <c r="M313" i="2"/>
  <c r="R312" i="2"/>
  <c r="P312" i="2"/>
  <c r="M312" i="2"/>
  <c r="Q312" i="2" s="1"/>
  <c r="R311" i="2"/>
  <c r="P311" i="2"/>
  <c r="M311" i="2"/>
  <c r="Q311" i="2" s="1"/>
  <c r="R310" i="2"/>
  <c r="Q310" i="2"/>
  <c r="P310" i="2"/>
  <c r="M310" i="2"/>
  <c r="R309" i="2"/>
  <c r="P309" i="2"/>
  <c r="M309" i="2"/>
  <c r="Q309" i="2" s="1"/>
  <c r="R308" i="2"/>
  <c r="P308" i="2"/>
  <c r="M308" i="2"/>
  <c r="Q308" i="2" s="1"/>
  <c r="R307" i="2"/>
  <c r="P307" i="2"/>
  <c r="M307" i="2"/>
  <c r="Q307" i="2" s="1"/>
  <c r="R306" i="2"/>
  <c r="P306" i="2"/>
  <c r="M306" i="2"/>
  <c r="Q306" i="2" s="1"/>
  <c r="R305" i="2"/>
  <c r="Q305" i="2"/>
  <c r="P305" i="2"/>
  <c r="M305" i="2"/>
  <c r="R304" i="2"/>
  <c r="P304" i="2"/>
  <c r="M304" i="2"/>
  <c r="Q304" i="2" s="1"/>
  <c r="R303" i="2"/>
  <c r="P303" i="2"/>
  <c r="M303" i="2"/>
  <c r="Q303" i="2" s="1"/>
  <c r="R302" i="2"/>
  <c r="Q302" i="2"/>
  <c r="P302" i="2"/>
  <c r="M302" i="2"/>
  <c r="R301" i="2"/>
  <c r="P301" i="2"/>
  <c r="M301" i="2"/>
  <c r="Q301" i="2" s="1"/>
  <c r="R300" i="2"/>
  <c r="P300" i="2"/>
  <c r="M300" i="2"/>
  <c r="Q300" i="2" s="1"/>
  <c r="R299" i="2"/>
  <c r="Q299" i="2"/>
  <c r="P299" i="2"/>
  <c r="M299" i="2"/>
  <c r="R298" i="2"/>
  <c r="P298" i="2"/>
  <c r="M298" i="2"/>
  <c r="Q298" i="2" s="1"/>
  <c r="R297" i="2"/>
  <c r="P297" i="2"/>
  <c r="M297" i="2"/>
  <c r="Q297" i="2" s="1"/>
  <c r="R296" i="2"/>
  <c r="P296" i="2"/>
  <c r="M296" i="2"/>
  <c r="Q296" i="2" s="1"/>
  <c r="R295" i="2"/>
  <c r="P295" i="2"/>
  <c r="M295" i="2"/>
  <c r="Q295" i="2" s="1"/>
  <c r="R294" i="2"/>
  <c r="P294" i="2"/>
  <c r="M294" i="2"/>
  <c r="Q294" i="2" s="1"/>
  <c r="R293" i="2"/>
  <c r="P293" i="2"/>
  <c r="M293" i="2"/>
  <c r="Q293" i="2" s="1"/>
  <c r="R292" i="2"/>
  <c r="Q292" i="2"/>
  <c r="P292" i="2"/>
  <c r="M292" i="2"/>
  <c r="R291" i="2"/>
  <c r="P291" i="2"/>
  <c r="M291" i="2"/>
  <c r="Q291" i="2" s="1"/>
  <c r="R290" i="2"/>
  <c r="Q290" i="2"/>
  <c r="P290" i="2"/>
  <c r="M290" i="2"/>
  <c r="R289" i="2"/>
  <c r="Q289" i="2"/>
  <c r="P289" i="2"/>
  <c r="M289" i="2"/>
  <c r="R288" i="2"/>
  <c r="P288" i="2"/>
  <c r="M288" i="2"/>
  <c r="Q288" i="2" s="1"/>
  <c r="R287" i="2"/>
  <c r="Q287" i="2"/>
  <c r="P287" i="2"/>
  <c r="M287" i="2"/>
  <c r="R286" i="2"/>
  <c r="Q286" i="2"/>
  <c r="P286" i="2"/>
  <c r="M286" i="2"/>
  <c r="R285" i="2"/>
  <c r="P285" i="2"/>
  <c r="M285" i="2"/>
  <c r="Q285" i="2" s="1"/>
  <c r="R284" i="2"/>
  <c r="P284" i="2"/>
  <c r="M284" i="2"/>
  <c r="Q284" i="2" s="1"/>
  <c r="R283" i="2"/>
  <c r="P283" i="2"/>
  <c r="M283" i="2"/>
  <c r="Q283" i="2" s="1"/>
  <c r="R282" i="2"/>
  <c r="P282" i="2"/>
  <c r="M282" i="2"/>
  <c r="Q282" i="2" s="1"/>
  <c r="R281" i="2"/>
  <c r="P281" i="2"/>
  <c r="M281" i="2"/>
  <c r="Q281" i="2" s="1"/>
  <c r="R280" i="2"/>
  <c r="P280" i="2"/>
  <c r="M280" i="2"/>
  <c r="Q280" i="2" s="1"/>
  <c r="R279" i="2"/>
  <c r="P279" i="2"/>
  <c r="M279" i="2"/>
  <c r="Q279" i="2" s="1"/>
  <c r="R278" i="2"/>
  <c r="P278" i="2"/>
  <c r="M278" i="2"/>
  <c r="Q278" i="2" s="1"/>
  <c r="R277" i="2"/>
  <c r="Q277" i="2"/>
  <c r="P277" i="2"/>
  <c r="M277" i="2"/>
  <c r="R276" i="2"/>
  <c r="P276" i="2"/>
  <c r="M276" i="2"/>
  <c r="Q276" i="2" s="1"/>
  <c r="R275" i="2"/>
  <c r="P275" i="2"/>
  <c r="M275" i="2"/>
  <c r="Q275" i="2" s="1"/>
  <c r="R274" i="2"/>
  <c r="Q274" i="2"/>
  <c r="P274" i="2"/>
  <c r="M274" i="2"/>
  <c r="R273" i="2"/>
  <c r="P273" i="2"/>
  <c r="M273" i="2"/>
  <c r="Q273" i="2" s="1"/>
  <c r="R272" i="2"/>
  <c r="P272" i="2"/>
  <c r="M272" i="2"/>
  <c r="Q272" i="2" s="1"/>
  <c r="R271" i="2"/>
  <c r="P271" i="2"/>
  <c r="M271" i="2"/>
  <c r="Q271" i="2" s="1"/>
  <c r="R270" i="2"/>
  <c r="P270" i="2"/>
  <c r="M270" i="2"/>
  <c r="Q270" i="2" s="1"/>
  <c r="R269" i="2"/>
  <c r="Q269" i="2"/>
  <c r="P269" i="2"/>
  <c r="M269" i="2"/>
  <c r="R268" i="2"/>
  <c r="P268" i="2"/>
  <c r="M268" i="2"/>
  <c r="Q268" i="2" s="1"/>
  <c r="R267" i="2"/>
  <c r="P267" i="2"/>
  <c r="M267" i="2"/>
  <c r="Q267" i="2" s="1"/>
  <c r="R266" i="2"/>
  <c r="Q266" i="2"/>
  <c r="P266" i="2"/>
  <c r="M266" i="2"/>
  <c r="R265" i="2"/>
  <c r="P265" i="2"/>
  <c r="M265" i="2"/>
  <c r="Q265" i="2" s="1"/>
  <c r="R264" i="2"/>
  <c r="P264" i="2"/>
  <c r="M264" i="2"/>
  <c r="Q264" i="2" s="1"/>
  <c r="R263" i="2"/>
  <c r="Q263" i="2"/>
  <c r="P263" i="2"/>
  <c r="M263" i="2"/>
  <c r="R262" i="2"/>
  <c r="P262" i="2"/>
  <c r="M262" i="2"/>
  <c r="Q262" i="2" s="1"/>
  <c r="R261" i="2"/>
  <c r="P261" i="2"/>
  <c r="M261" i="2"/>
  <c r="Q261" i="2" s="1"/>
  <c r="R260" i="2"/>
  <c r="P260" i="2"/>
  <c r="M260" i="2"/>
  <c r="Q260" i="2" s="1"/>
  <c r="R259" i="2"/>
  <c r="P259" i="2"/>
  <c r="M259" i="2"/>
  <c r="Q259" i="2" s="1"/>
  <c r="R258" i="2"/>
  <c r="P258" i="2"/>
  <c r="M258" i="2"/>
  <c r="Q258" i="2" s="1"/>
  <c r="R257" i="2"/>
  <c r="P257" i="2"/>
  <c r="M257" i="2"/>
  <c r="Q257" i="2" s="1"/>
  <c r="R256" i="2"/>
  <c r="Q256" i="2"/>
  <c r="P256" i="2"/>
  <c r="M256" i="2"/>
  <c r="R255" i="2"/>
  <c r="P255" i="2"/>
  <c r="M255" i="2"/>
  <c r="Q255" i="2" s="1"/>
  <c r="R254" i="2"/>
  <c r="Q254" i="2"/>
  <c r="P254" i="2"/>
  <c r="M254" i="2"/>
  <c r="R253" i="2"/>
  <c r="Q253" i="2"/>
  <c r="P253" i="2"/>
  <c r="M253" i="2"/>
  <c r="R252" i="2"/>
  <c r="P252" i="2"/>
  <c r="M252" i="2"/>
  <c r="Q252" i="2" s="1"/>
  <c r="R251" i="2"/>
  <c r="Q251" i="2"/>
  <c r="P251" i="2"/>
  <c r="M251" i="2"/>
  <c r="R250" i="2"/>
  <c r="Q250" i="2"/>
  <c r="P250" i="2"/>
  <c r="M250" i="2"/>
  <c r="R249" i="2"/>
  <c r="P249" i="2"/>
  <c r="M249" i="2"/>
  <c r="Q249" i="2" s="1"/>
  <c r="R248" i="2"/>
  <c r="P248" i="2"/>
  <c r="M248" i="2"/>
  <c r="Q248" i="2" s="1"/>
  <c r="R247" i="2"/>
  <c r="P247" i="2"/>
  <c r="M247" i="2"/>
  <c r="Q247" i="2" s="1"/>
  <c r="R246" i="2"/>
  <c r="P246" i="2"/>
  <c r="M246" i="2"/>
  <c r="Q246" i="2" s="1"/>
  <c r="R245" i="2"/>
  <c r="P245" i="2"/>
  <c r="M245" i="2"/>
  <c r="Q245" i="2" s="1"/>
  <c r="R244" i="2"/>
  <c r="P244" i="2"/>
  <c r="M244" i="2"/>
  <c r="Q244" i="2" s="1"/>
  <c r="R243" i="2"/>
  <c r="P243" i="2"/>
  <c r="M243" i="2"/>
  <c r="Q243" i="2" s="1"/>
  <c r="R242" i="2"/>
  <c r="P242" i="2"/>
  <c r="M242" i="2"/>
  <c r="Q242" i="2" s="1"/>
  <c r="R241" i="2"/>
  <c r="Q241" i="2"/>
  <c r="P241" i="2"/>
  <c r="M241" i="2"/>
  <c r="R240" i="2"/>
  <c r="P240" i="2"/>
  <c r="M240" i="2"/>
  <c r="Q240" i="2" s="1"/>
  <c r="R239" i="2"/>
  <c r="P239" i="2"/>
  <c r="M239" i="2"/>
  <c r="Q239" i="2" s="1"/>
  <c r="R238" i="2"/>
  <c r="Q238" i="2"/>
  <c r="P238" i="2"/>
  <c r="M238" i="2"/>
  <c r="R237" i="2"/>
  <c r="P237" i="2"/>
  <c r="M237" i="2"/>
  <c r="Q237" i="2" s="1"/>
  <c r="R236" i="2"/>
  <c r="P236" i="2"/>
  <c r="M236" i="2"/>
  <c r="Q236" i="2" s="1"/>
  <c r="R235" i="2"/>
  <c r="P235" i="2"/>
  <c r="M235" i="2"/>
  <c r="Q235" i="2" s="1"/>
  <c r="R234" i="2"/>
  <c r="P234" i="2"/>
  <c r="M234" i="2"/>
  <c r="Q234" i="2" s="1"/>
  <c r="R233" i="2"/>
  <c r="Q233" i="2"/>
  <c r="P233" i="2"/>
  <c r="M233" i="2"/>
  <c r="R232" i="2"/>
  <c r="P232" i="2"/>
  <c r="M232" i="2"/>
  <c r="Q232" i="2" s="1"/>
  <c r="R231" i="2"/>
  <c r="P231" i="2"/>
  <c r="M231" i="2"/>
  <c r="Q231" i="2" s="1"/>
  <c r="R230" i="2"/>
  <c r="Q230" i="2"/>
  <c r="P230" i="2"/>
  <c r="M230" i="2"/>
  <c r="R229" i="2"/>
  <c r="P229" i="2"/>
  <c r="M229" i="2"/>
  <c r="Q229" i="2" s="1"/>
  <c r="R228" i="2"/>
  <c r="P228" i="2"/>
  <c r="M228" i="2"/>
  <c r="Q228" i="2" s="1"/>
  <c r="R227" i="2"/>
  <c r="Q227" i="2"/>
  <c r="P227" i="2"/>
  <c r="M227" i="2"/>
  <c r="R226" i="2"/>
  <c r="P226" i="2"/>
  <c r="M226" i="2"/>
  <c r="Q226" i="2" s="1"/>
  <c r="R225" i="2"/>
  <c r="P225" i="2"/>
  <c r="M225" i="2"/>
  <c r="Q225" i="2" s="1"/>
  <c r="R224" i="2"/>
  <c r="P224" i="2"/>
  <c r="M224" i="2"/>
  <c r="Q224" i="2" s="1"/>
  <c r="R223" i="2"/>
  <c r="P223" i="2"/>
  <c r="M223" i="2"/>
  <c r="Q223" i="2" s="1"/>
  <c r="R222" i="2"/>
  <c r="P222" i="2"/>
  <c r="M222" i="2"/>
  <c r="Q222" i="2" s="1"/>
  <c r="R221" i="2"/>
  <c r="P221" i="2"/>
  <c r="M221" i="2"/>
  <c r="Q221" i="2" s="1"/>
  <c r="R220" i="2"/>
  <c r="Q220" i="2"/>
  <c r="P220" i="2"/>
  <c r="M220" i="2"/>
  <c r="R219" i="2"/>
  <c r="P219" i="2"/>
  <c r="M219" i="2"/>
  <c r="Q219" i="2" s="1"/>
  <c r="R218" i="2"/>
  <c r="Q218" i="2"/>
  <c r="P218" i="2"/>
  <c r="M218" i="2"/>
  <c r="R217" i="2"/>
  <c r="Q217" i="2"/>
  <c r="P217" i="2"/>
  <c r="M217" i="2"/>
  <c r="R216" i="2"/>
  <c r="P216" i="2"/>
  <c r="M216" i="2"/>
  <c r="Q216" i="2" s="1"/>
  <c r="R215" i="2"/>
  <c r="Q215" i="2"/>
  <c r="P215" i="2"/>
  <c r="M215" i="2"/>
  <c r="R214" i="2"/>
  <c r="Q214" i="2"/>
  <c r="P214" i="2"/>
  <c r="M214" i="2"/>
  <c r="R213" i="2"/>
  <c r="P213" i="2"/>
  <c r="M213" i="2"/>
  <c r="Q213" i="2" s="1"/>
  <c r="R212" i="2"/>
  <c r="P212" i="2"/>
  <c r="M212" i="2"/>
  <c r="Q212" i="2" s="1"/>
  <c r="R211" i="2"/>
  <c r="P211" i="2"/>
  <c r="M211" i="2"/>
  <c r="Q211" i="2" s="1"/>
  <c r="R210" i="2"/>
  <c r="P210" i="2"/>
  <c r="M210" i="2"/>
  <c r="Q210" i="2" s="1"/>
  <c r="R209" i="2"/>
  <c r="P209" i="2"/>
  <c r="M209" i="2"/>
  <c r="Q209" i="2" s="1"/>
  <c r="R208" i="2"/>
  <c r="P208" i="2"/>
  <c r="M208" i="2"/>
  <c r="Q208" i="2" s="1"/>
  <c r="R207" i="2"/>
  <c r="P207" i="2"/>
  <c r="M207" i="2"/>
  <c r="Q207" i="2" s="1"/>
  <c r="R206" i="2"/>
  <c r="P206" i="2"/>
  <c r="M206" i="2"/>
  <c r="Q206" i="2" s="1"/>
  <c r="R205" i="2"/>
  <c r="Q205" i="2"/>
  <c r="P205" i="2"/>
  <c r="M205" i="2"/>
  <c r="R204" i="2"/>
  <c r="P204" i="2"/>
  <c r="M204" i="2"/>
  <c r="Q204" i="2" s="1"/>
  <c r="R203" i="2"/>
  <c r="P203" i="2"/>
  <c r="M203" i="2"/>
  <c r="Q203" i="2" s="1"/>
  <c r="R202" i="2"/>
  <c r="Q202" i="2"/>
  <c r="P202" i="2"/>
  <c r="M202" i="2"/>
  <c r="R201" i="2"/>
  <c r="P201" i="2"/>
  <c r="M201" i="2"/>
  <c r="Q201" i="2" s="1"/>
  <c r="R200" i="2"/>
  <c r="P200" i="2"/>
  <c r="M200" i="2"/>
  <c r="Q200" i="2" s="1"/>
  <c r="R199" i="2"/>
  <c r="P199" i="2"/>
  <c r="M199" i="2"/>
  <c r="Q199" i="2" s="1"/>
  <c r="R198" i="2"/>
  <c r="P198" i="2"/>
  <c r="M198" i="2"/>
  <c r="Q198" i="2" s="1"/>
  <c r="R197" i="2"/>
  <c r="Q197" i="2"/>
  <c r="P197" i="2"/>
  <c r="M197" i="2"/>
  <c r="R196" i="2"/>
  <c r="P196" i="2"/>
  <c r="M196" i="2"/>
  <c r="Q196" i="2" s="1"/>
  <c r="R195" i="2"/>
  <c r="P195" i="2"/>
  <c r="M195" i="2"/>
  <c r="Q195" i="2" s="1"/>
  <c r="R194" i="2"/>
  <c r="Q194" i="2"/>
  <c r="P194" i="2"/>
  <c r="M194" i="2"/>
  <c r="R193" i="2"/>
  <c r="P193" i="2"/>
  <c r="M193" i="2"/>
  <c r="Q193" i="2" s="1"/>
  <c r="R192" i="2"/>
  <c r="P192" i="2"/>
  <c r="M192" i="2"/>
  <c r="Q192" i="2" s="1"/>
  <c r="R191" i="2"/>
  <c r="Q191" i="2"/>
  <c r="P191" i="2"/>
  <c r="M191" i="2"/>
  <c r="R190" i="2"/>
  <c r="P190" i="2"/>
  <c r="M190" i="2"/>
  <c r="Q190" i="2" s="1"/>
  <c r="R189" i="2"/>
  <c r="P189" i="2"/>
  <c r="M189" i="2"/>
  <c r="Q189" i="2" s="1"/>
  <c r="R188" i="2"/>
  <c r="P188" i="2"/>
  <c r="M188" i="2"/>
  <c r="Q188" i="2" s="1"/>
  <c r="R187" i="2"/>
  <c r="P187" i="2"/>
  <c r="M187" i="2"/>
  <c r="Q187" i="2" s="1"/>
  <c r="R186" i="2"/>
  <c r="P186" i="2"/>
  <c r="M186" i="2"/>
  <c r="Q186" i="2" s="1"/>
  <c r="R185" i="2"/>
  <c r="P185" i="2"/>
  <c r="M185" i="2"/>
  <c r="Q185" i="2" s="1"/>
  <c r="R184" i="2"/>
  <c r="Q184" i="2"/>
  <c r="P184" i="2"/>
  <c r="M184" i="2"/>
  <c r="R183" i="2"/>
  <c r="P183" i="2"/>
  <c r="M183" i="2"/>
  <c r="Q183" i="2" s="1"/>
  <c r="R182" i="2"/>
  <c r="Q182" i="2"/>
  <c r="P182" i="2"/>
  <c r="M182" i="2"/>
  <c r="R181" i="2"/>
  <c r="Q181" i="2"/>
  <c r="P181" i="2"/>
  <c r="M181" i="2"/>
  <c r="R180" i="2"/>
  <c r="P180" i="2"/>
  <c r="M180" i="2"/>
  <c r="Q180" i="2" s="1"/>
  <c r="R179" i="2"/>
  <c r="Q179" i="2"/>
  <c r="P179" i="2"/>
  <c r="M179" i="2"/>
  <c r="R178" i="2"/>
  <c r="Q178" i="2"/>
  <c r="P178" i="2"/>
  <c r="M178" i="2"/>
  <c r="R177" i="2"/>
  <c r="P177" i="2"/>
  <c r="M177" i="2"/>
  <c r="Q177" i="2" s="1"/>
  <c r="R176" i="2"/>
  <c r="P176" i="2"/>
  <c r="M176" i="2"/>
  <c r="Q176" i="2" s="1"/>
  <c r="R175" i="2"/>
  <c r="P175" i="2"/>
  <c r="M175" i="2"/>
  <c r="Q175" i="2" s="1"/>
  <c r="R174" i="2"/>
  <c r="P174" i="2"/>
  <c r="M174" i="2"/>
  <c r="Q174" i="2" s="1"/>
  <c r="R173" i="2"/>
  <c r="P173" i="2"/>
  <c r="M173" i="2"/>
  <c r="Q173" i="2" s="1"/>
  <c r="R172" i="2"/>
  <c r="P172" i="2"/>
  <c r="M172" i="2"/>
  <c r="Q172" i="2" s="1"/>
  <c r="R171" i="2"/>
  <c r="P171" i="2"/>
  <c r="M171" i="2"/>
  <c r="Q171" i="2" s="1"/>
  <c r="R170" i="2"/>
  <c r="P170" i="2"/>
  <c r="M170" i="2"/>
  <c r="Q170" i="2" s="1"/>
  <c r="R169" i="2"/>
  <c r="Q169" i="2"/>
  <c r="P169" i="2"/>
  <c r="M169" i="2"/>
  <c r="R168" i="2"/>
  <c r="P168" i="2"/>
  <c r="M168" i="2"/>
  <c r="Q168" i="2" s="1"/>
  <c r="R167" i="2"/>
  <c r="P167" i="2"/>
  <c r="M167" i="2"/>
  <c r="Q167" i="2" s="1"/>
  <c r="R166" i="2"/>
  <c r="Q166" i="2"/>
  <c r="P166" i="2"/>
  <c r="M166" i="2"/>
  <c r="R165" i="2"/>
  <c r="P165" i="2"/>
  <c r="M165" i="2"/>
  <c r="Q165" i="2" s="1"/>
  <c r="R164" i="2"/>
  <c r="P164" i="2"/>
  <c r="M164" i="2"/>
  <c r="Q164" i="2" s="1"/>
  <c r="R163" i="2"/>
  <c r="P163" i="2"/>
  <c r="M163" i="2"/>
  <c r="Q163" i="2" s="1"/>
  <c r="R162" i="2"/>
  <c r="P162" i="2"/>
  <c r="M162" i="2"/>
  <c r="Q162" i="2" s="1"/>
  <c r="R161" i="2"/>
  <c r="Q161" i="2"/>
  <c r="P161" i="2"/>
  <c r="M161" i="2"/>
  <c r="R160" i="2"/>
  <c r="P160" i="2"/>
  <c r="M160" i="2"/>
  <c r="Q160" i="2" s="1"/>
  <c r="R159" i="2"/>
  <c r="P159" i="2"/>
  <c r="M159" i="2"/>
  <c r="Q159" i="2" s="1"/>
  <c r="R158" i="2"/>
  <c r="Q158" i="2"/>
  <c r="P158" i="2"/>
  <c r="M158" i="2"/>
  <c r="R157" i="2"/>
  <c r="P157" i="2"/>
  <c r="M157" i="2"/>
  <c r="Q157" i="2" s="1"/>
  <c r="R156" i="2"/>
  <c r="P156" i="2"/>
  <c r="M156" i="2"/>
  <c r="Q156" i="2" s="1"/>
  <c r="R155" i="2"/>
  <c r="Q155" i="2"/>
  <c r="P155" i="2"/>
  <c r="M155" i="2"/>
  <c r="R154" i="2"/>
  <c r="P154" i="2"/>
  <c r="M154" i="2"/>
  <c r="Q154" i="2" s="1"/>
  <c r="R153" i="2"/>
  <c r="P153" i="2"/>
  <c r="M153" i="2"/>
  <c r="Q153" i="2" s="1"/>
  <c r="R152" i="2"/>
  <c r="P152" i="2"/>
  <c r="M152" i="2"/>
  <c r="Q152" i="2" s="1"/>
  <c r="R151" i="2"/>
  <c r="P151" i="2"/>
  <c r="M151" i="2"/>
  <c r="Q151" i="2" s="1"/>
  <c r="R150" i="2"/>
  <c r="P150" i="2"/>
  <c r="M150" i="2"/>
  <c r="Q150" i="2" s="1"/>
  <c r="R149" i="2"/>
  <c r="P149" i="2"/>
  <c r="M149" i="2"/>
  <c r="Q149" i="2" s="1"/>
  <c r="R148" i="2"/>
  <c r="Q148" i="2"/>
  <c r="P148" i="2"/>
  <c r="M148" i="2"/>
  <c r="R147" i="2"/>
  <c r="P147" i="2"/>
  <c r="M147" i="2"/>
  <c r="Q147" i="2" s="1"/>
  <c r="R146" i="2"/>
  <c r="Q146" i="2"/>
  <c r="P146" i="2"/>
  <c r="M146" i="2"/>
  <c r="R145" i="2"/>
  <c r="Q145" i="2"/>
  <c r="P145" i="2"/>
  <c r="M145" i="2"/>
  <c r="R144" i="2"/>
  <c r="P144" i="2"/>
  <c r="M144" i="2"/>
  <c r="Q144" i="2" s="1"/>
  <c r="R143" i="2"/>
  <c r="Q143" i="2"/>
  <c r="P143" i="2"/>
  <c r="M143" i="2"/>
  <c r="R142" i="2"/>
  <c r="Q142" i="2"/>
  <c r="P142" i="2"/>
  <c r="M142" i="2"/>
  <c r="R141" i="2"/>
  <c r="P141" i="2"/>
  <c r="M141" i="2"/>
  <c r="Q141" i="2" s="1"/>
  <c r="R140" i="2"/>
  <c r="P140" i="2"/>
  <c r="M140" i="2"/>
  <c r="Q140" i="2" s="1"/>
  <c r="R139" i="2"/>
  <c r="P139" i="2"/>
  <c r="M139" i="2"/>
  <c r="Q139" i="2" s="1"/>
  <c r="R138" i="2"/>
  <c r="P138" i="2"/>
  <c r="M138" i="2"/>
  <c r="Q138" i="2" s="1"/>
  <c r="R137" i="2"/>
  <c r="P137" i="2"/>
  <c r="M137" i="2"/>
  <c r="Q137" i="2" s="1"/>
  <c r="R136" i="2"/>
  <c r="P136" i="2"/>
  <c r="M136" i="2"/>
  <c r="Q136" i="2" s="1"/>
  <c r="R135" i="2"/>
  <c r="P135" i="2"/>
  <c r="M135" i="2"/>
  <c r="Q135" i="2" s="1"/>
  <c r="R134" i="2"/>
  <c r="P134" i="2"/>
  <c r="M134" i="2"/>
  <c r="Q134" i="2" s="1"/>
  <c r="R133" i="2"/>
  <c r="Q133" i="2"/>
  <c r="P133" i="2"/>
  <c r="M133" i="2"/>
  <c r="R132" i="2"/>
  <c r="P132" i="2"/>
  <c r="M132" i="2"/>
  <c r="Q132" i="2" s="1"/>
  <c r="R131" i="2"/>
  <c r="P131" i="2"/>
  <c r="M131" i="2"/>
  <c r="Q131" i="2" s="1"/>
  <c r="R130" i="2"/>
  <c r="Q130" i="2"/>
  <c r="P130" i="2"/>
  <c r="M130" i="2"/>
  <c r="R129" i="2"/>
  <c r="P129" i="2"/>
  <c r="M129" i="2"/>
  <c r="Q129" i="2" s="1"/>
  <c r="R128" i="2"/>
  <c r="P128" i="2"/>
  <c r="M128" i="2"/>
  <c r="Q128" i="2" s="1"/>
  <c r="R127" i="2"/>
  <c r="P127" i="2"/>
  <c r="M127" i="2"/>
  <c r="Q127" i="2" s="1"/>
  <c r="R126" i="2"/>
  <c r="P126" i="2"/>
  <c r="M126" i="2"/>
  <c r="Q126" i="2" s="1"/>
  <c r="R125" i="2"/>
  <c r="Q125" i="2"/>
  <c r="P125" i="2"/>
  <c r="M125" i="2"/>
  <c r="R124" i="2"/>
  <c r="P124" i="2"/>
  <c r="M124" i="2"/>
  <c r="Q124" i="2" s="1"/>
  <c r="R123" i="2"/>
  <c r="P123" i="2"/>
  <c r="M123" i="2"/>
  <c r="Q123" i="2" s="1"/>
  <c r="R122" i="2"/>
  <c r="Q122" i="2"/>
  <c r="P122" i="2"/>
  <c r="M122" i="2"/>
  <c r="R121" i="2"/>
  <c r="P121" i="2"/>
  <c r="M121" i="2"/>
  <c r="Q121" i="2" s="1"/>
  <c r="R120" i="2"/>
  <c r="P120" i="2"/>
  <c r="M120" i="2"/>
  <c r="Q120" i="2" s="1"/>
  <c r="R119" i="2"/>
  <c r="Q119" i="2"/>
  <c r="P119" i="2"/>
  <c r="M119" i="2"/>
  <c r="R118" i="2"/>
  <c r="P118" i="2"/>
  <c r="M118" i="2"/>
  <c r="Q118" i="2" s="1"/>
  <c r="R117" i="2"/>
  <c r="P117" i="2"/>
  <c r="M117" i="2"/>
  <c r="Q117" i="2" s="1"/>
  <c r="R116" i="2"/>
  <c r="P116" i="2"/>
  <c r="M116" i="2"/>
  <c r="Q116" i="2" s="1"/>
  <c r="R115" i="2"/>
  <c r="P115" i="2"/>
  <c r="M115" i="2"/>
  <c r="Q115" i="2" s="1"/>
  <c r="R114" i="2"/>
  <c r="P114" i="2"/>
  <c r="M114" i="2"/>
  <c r="Q114" i="2" s="1"/>
  <c r="R113" i="2"/>
  <c r="P113" i="2"/>
  <c r="M113" i="2"/>
  <c r="Q113" i="2" s="1"/>
  <c r="R112" i="2"/>
  <c r="Q112" i="2"/>
  <c r="P112" i="2"/>
  <c r="M112" i="2"/>
  <c r="R111" i="2"/>
  <c r="P111" i="2"/>
  <c r="M111" i="2"/>
  <c r="Q111" i="2" s="1"/>
  <c r="R110" i="2"/>
  <c r="Q110" i="2"/>
  <c r="P110" i="2"/>
  <c r="M110" i="2"/>
  <c r="R109" i="2"/>
  <c r="Q109" i="2"/>
  <c r="P109" i="2"/>
  <c r="M109" i="2"/>
  <c r="R108" i="2"/>
  <c r="P108" i="2"/>
  <c r="M108" i="2"/>
  <c r="Q108" i="2" s="1"/>
  <c r="R107" i="2"/>
  <c r="Q107" i="2"/>
  <c r="P107" i="2"/>
  <c r="M107" i="2"/>
  <c r="R106" i="2"/>
  <c r="Q106" i="2"/>
  <c r="P106" i="2"/>
  <c r="M106" i="2"/>
  <c r="R105" i="2"/>
  <c r="P105" i="2"/>
  <c r="M105" i="2"/>
  <c r="Q105" i="2" s="1"/>
  <c r="R104" i="2"/>
  <c r="P104" i="2"/>
  <c r="M104" i="2"/>
  <c r="Q104" i="2" s="1"/>
  <c r="R103" i="2"/>
  <c r="P103" i="2"/>
  <c r="M103" i="2"/>
  <c r="Q103" i="2" s="1"/>
  <c r="R102" i="2"/>
  <c r="P102" i="2"/>
  <c r="M102" i="2"/>
  <c r="Q102" i="2" s="1"/>
  <c r="R101" i="2"/>
  <c r="P101" i="2"/>
  <c r="M101" i="2"/>
  <c r="Q101" i="2" s="1"/>
  <c r="R100" i="2"/>
  <c r="P100" i="2"/>
  <c r="M100" i="2"/>
  <c r="Q100" i="2" s="1"/>
  <c r="R99" i="2"/>
  <c r="P99" i="2"/>
  <c r="M99" i="2"/>
  <c r="Q99" i="2" s="1"/>
  <c r="R98" i="2"/>
  <c r="P98" i="2"/>
  <c r="M98" i="2"/>
  <c r="Q98" i="2" s="1"/>
  <c r="R97" i="2"/>
  <c r="Q97" i="2"/>
  <c r="P97" i="2"/>
  <c r="M97" i="2"/>
  <c r="R96" i="2"/>
  <c r="P96" i="2"/>
  <c r="M96" i="2"/>
  <c r="Q96" i="2" s="1"/>
  <c r="R95" i="2"/>
  <c r="P95" i="2"/>
  <c r="M95" i="2"/>
  <c r="Q95" i="2" s="1"/>
  <c r="R94" i="2"/>
  <c r="Q94" i="2"/>
  <c r="P94" i="2"/>
  <c r="M94" i="2"/>
  <c r="R93" i="2"/>
  <c r="P93" i="2"/>
  <c r="M93" i="2"/>
  <c r="Q93" i="2" s="1"/>
  <c r="R92" i="2"/>
  <c r="P92" i="2"/>
  <c r="M92" i="2"/>
  <c r="Q92" i="2" s="1"/>
  <c r="R91" i="2"/>
  <c r="P91" i="2"/>
  <c r="M91" i="2"/>
  <c r="H25" i="8" s="1"/>
  <c r="R90" i="2"/>
  <c r="P90" i="2"/>
  <c r="M90" i="2"/>
  <c r="Q90" i="2" s="1"/>
  <c r="R89" i="2"/>
  <c r="Q89" i="2"/>
  <c r="P89" i="2"/>
  <c r="M89" i="2"/>
  <c r="R88" i="2"/>
  <c r="P88" i="2"/>
  <c r="M88" i="2"/>
  <c r="H22" i="8" s="1"/>
  <c r="R87" i="2"/>
  <c r="K10" i="5" s="1"/>
  <c r="P87" i="2"/>
  <c r="M87" i="2"/>
  <c r="Q87" i="2" s="1"/>
  <c r="R86" i="2"/>
  <c r="Q86" i="2"/>
  <c r="P86" i="2"/>
  <c r="M86" i="2"/>
  <c r="R85" i="2"/>
  <c r="Q85" i="2"/>
  <c r="P85" i="2"/>
  <c r="M85" i="2"/>
  <c r="R84" i="2"/>
  <c r="Q84" i="2"/>
  <c r="P84" i="2"/>
  <c r="M84" i="2"/>
  <c r="R83" i="2"/>
  <c r="Q83" i="2"/>
  <c r="P83" i="2"/>
  <c r="M83" i="2"/>
  <c r="R82" i="2"/>
  <c r="Q82" i="2"/>
  <c r="P82" i="2"/>
  <c r="M82" i="2"/>
  <c r="R81" i="2"/>
  <c r="Q81" i="2"/>
  <c r="P81" i="2"/>
  <c r="M81" i="2"/>
  <c r="R80" i="2"/>
  <c r="Q80" i="2"/>
  <c r="P80" i="2"/>
  <c r="M80" i="2"/>
  <c r="R79" i="2"/>
  <c r="Q79" i="2"/>
  <c r="P79" i="2"/>
  <c r="M79" i="2"/>
  <c r="R78" i="2"/>
  <c r="Q78" i="2"/>
  <c r="P78" i="2"/>
  <c r="M78" i="2"/>
  <c r="R77" i="2"/>
  <c r="Q77" i="2"/>
  <c r="P77" i="2"/>
  <c r="M77" i="2"/>
  <c r="R76" i="2"/>
  <c r="Q76" i="2"/>
  <c r="P76" i="2"/>
  <c r="M76" i="2"/>
  <c r="R75" i="2"/>
  <c r="Q75" i="2"/>
  <c r="P75" i="2"/>
  <c r="M75" i="2"/>
  <c r="R74" i="2"/>
  <c r="Q74" i="2"/>
  <c r="P74" i="2"/>
  <c r="M74" i="2"/>
  <c r="R73" i="2"/>
  <c r="Q73" i="2"/>
  <c r="P73" i="2"/>
  <c r="M73" i="2"/>
  <c r="R72" i="2"/>
  <c r="Q72" i="2"/>
  <c r="P72" i="2"/>
  <c r="M72" i="2"/>
  <c r="R71" i="2"/>
  <c r="Q71" i="2"/>
  <c r="P71" i="2"/>
  <c r="M71" i="2"/>
  <c r="R70" i="2"/>
  <c r="Q70" i="2"/>
  <c r="P70" i="2"/>
  <c r="M70" i="2"/>
  <c r="R69" i="2"/>
  <c r="Q69" i="2"/>
  <c r="P69" i="2"/>
  <c r="M69" i="2"/>
  <c r="R68" i="2"/>
  <c r="Q68" i="2"/>
  <c r="P68" i="2"/>
  <c r="M68" i="2"/>
  <c r="R67" i="2"/>
  <c r="Q67" i="2"/>
  <c r="P67" i="2"/>
  <c r="M67" i="2"/>
  <c r="R66" i="2"/>
  <c r="Q66" i="2"/>
  <c r="P66" i="2"/>
  <c r="M66" i="2"/>
  <c r="R65" i="2"/>
  <c r="Q65" i="2"/>
  <c r="P65" i="2"/>
  <c r="M65" i="2"/>
  <c r="R64" i="2"/>
  <c r="Q64" i="2"/>
  <c r="P64" i="2"/>
  <c r="M64" i="2"/>
  <c r="R63" i="2"/>
  <c r="Q63" i="2"/>
  <c r="P63" i="2"/>
  <c r="M63" i="2"/>
  <c r="R62" i="2"/>
  <c r="Q62" i="2"/>
  <c r="P62" i="2"/>
  <c r="M62" i="2"/>
  <c r="R61" i="2"/>
  <c r="Q61" i="2"/>
  <c r="P61" i="2"/>
  <c r="M61" i="2"/>
  <c r="R60" i="2"/>
  <c r="Q60" i="2"/>
  <c r="P60" i="2"/>
  <c r="M60" i="2"/>
  <c r="R59" i="2"/>
  <c r="Q59" i="2"/>
  <c r="P59" i="2"/>
  <c r="M59" i="2"/>
  <c r="R58" i="2"/>
  <c r="Q58" i="2"/>
  <c r="P58" i="2"/>
  <c r="M58" i="2"/>
  <c r="R57" i="2"/>
  <c r="Q57" i="2"/>
  <c r="P57" i="2"/>
  <c r="M57" i="2"/>
  <c r="R56" i="2"/>
  <c r="Q56" i="2"/>
  <c r="P56" i="2"/>
  <c r="M56" i="2"/>
  <c r="R55" i="2"/>
  <c r="Q55" i="2"/>
  <c r="P55" i="2"/>
  <c r="M55" i="2"/>
  <c r="R54" i="2"/>
  <c r="Q54" i="2"/>
  <c r="P54" i="2"/>
  <c r="M54" i="2"/>
  <c r="R53" i="2"/>
  <c r="Q53" i="2"/>
  <c r="P53" i="2"/>
  <c r="M53" i="2"/>
  <c r="R52" i="2"/>
  <c r="Q52" i="2"/>
  <c r="P52" i="2"/>
  <c r="M52" i="2"/>
  <c r="R51" i="2"/>
  <c r="Q51" i="2"/>
  <c r="P51" i="2"/>
  <c r="M51" i="2"/>
  <c r="R50" i="2"/>
  <c r="Q50" i="2"/>
  <c r="P50" i="2"/>
  <c r="M50" i="2"/>
  <c r="R49" i="2"/>
  <c r="Q49" i="2"/>
  <c r="P49" i="2"/>
  <c r="M49" i="2"/>
  <c r="R48" i="2"/>
  <c r="Q48" i="2"/>
  <c r="P48" i="2"/>
  <c r="M48" i="2"/>
  <c r="R47" i="2"/>
  <c r="Q47" i="2"/>
  <c r="P47" i="2"/>
  <c r="M47" i="2"/>
  <c r="R46" i="2"/>
  <c r="Q46" i="2"/>
  <c r="P46" i="2"/>
  <c r="M46" i="2"/>
  <c r="R45" i="2"/>
  <c r="Q45" i="2"/>
  <c r="P45" i="2"/>
  <c r="M45" i="2"/>
  <c r="R44" i="2"/>
  <c r="Q44" i="2"/>
  <c r="P44" i="2"/>
  <c r="M44" i="2"/>
  <c r="R43" i="2"/>
  <c r="Q43" i="2"/>
  <c r="P43" i="2"/>
  <c r="M43" i="2"/>
  <c r="R42" i="2"/>
  <c r="Q42" i="2"/>
  <c r="P42" i="2"/>
  <c r="M42" i="2"/>
  <c r="R41" i="2"/>
  <c r="Q41" i="2"/>
  <c r="P41" i="2"/>
  <c r="M41" i="2"/>
  <c r="R40" i="2"/>
  <c r="Q40" i="2"/>
  <c r="P40" i="2"/>
  <c r="M40" i="2"/>
  <c r="R39" i="2"/>
  <c r="Q39" i="2"/>
  <c r="P39" i="2"/>
  <c r="M39" i="2"/>
  <c r="R38" i="2"/>
  <c r="Q38" i="2"/>
  <c r="P38" i="2"/>
  <c r="M38" i="2"/>
  <c r="R37" i="2"/>
  <c r="Q37" i="2"/>
  <c r="P37" i="2"/>
  <c r="M37" i="2"/>
  <c r="R36" i="2"/>
  <c r="K18" i="5" s="1"/>
  <c r="Q36" i="2"/>
  <c r="P36" i="2"/>
  <c r="M36" i="2"/>
  <c r="R35" i="2"/>
  <c r="Q35" i="2"/>
  <c r="P35" i="2"/>
  <c r="M35" i="2"/>
  <c r="R34" i="2"/>
  <c r="Q34" i="2"/>
  <c r="P34" i="2"/>
  <c r="M34" i="2"/>
  <c r="R33" i="2"/>
  <c r="Q33" i="2"/>
  <c r="P33" i="2"/>
  <c r="M33" i="2"/>
  <c r="R32" i="2"/>
  <c r="Q32" i="2"/>
  <c r="P32" i="2"/>
  <c r="M32" i="2"/>
  <c r="R31" i="2"/>
  <c r="Q31" i="2"/>
  <c r="P31" i="2"/>
  <c r="M31" i="2"/>
  <c r="R30" i="2"/>
  <c r="Q30" i="2"/>
  <c r="P30" i="2"/>
  <c r="M30" i="2"/>
  <c r="R29" i="2"/>
  <c r="Q29" i="2"/>
  <c r="P29" i="2"/>
  <c r="M29" i="2"/>
  <c r="R28" i="2"/>
  <c r="Q28" i="2"/>
  <c r="P28" i="2"/>
  <c r="M28" i="2"/>
  <c r="R27" i="2"/>
  <c r="Q27" i="2"/>
  <c r="P27" i="2"/>
  <c r="M27" i="2"/>
  <c r="R26" i="2"/>
  <c r="Q26" i="2"/>
  <c r="P26" i="2"/>
  <c r="M26" i="2"/>
  <c r="R25" i="2"/>
  <c r="Q25" i="2"/>
  <c r="P25" i="2"/>
  <c r="M25" i="2"/>
  <c r="R24" i="2"/>
  <c r="Q24" i="2"/>
  <c r="P24" i="2"/>
  <c r="M24" i="2"/>
  <c r="R23" i="2"/>
  <c r="Q23" i="2"/>
  <c r="P23" i="2"/>
  <c r="M23" i="2"/>
  <c r="R22" i="2"/>
  <c r="Q22" i="2"/>
  <c r="P22" i="2"/>
  <c r="M22" i="2"/>
  <c r="R21" i="2"/>
  <c r="Q21" i="2"/>
  <c r="P21" i="2"/>
  <c r="M21" i="2"/>
  <c r="R20" i="2"/>
  <c r="Q20" i="2"/>
  <c r="P20" i="2"/>
  <c r="M20" i="2"/>
  <c r="R19" i="2"/>
  <c r="Q19" i="2"/>
  <c r="P19" i="2"/>
  <c r="M19" i="2"/>
  <c r="R18" i="2"/>
  <c r="Q18" i="2"/>
  <c r="P18" i="2"/>
  <c r="M18" i="2"/>
  <c r="H23" i="8" s="1"/>
  <c r="R17" i="2"/>
  <c r="Q17" i="2"/>
  <c r="P17" i="2"/>
  <c r="M17" i="2"/>
  <c r="R16" i="2"/>
  <c r="Q16" i="2"/>
  <c r="P16" i="2"/>
  <c r="M16" i="2"/>
  <c r="R15" i="2"/>
  <c r="Q15" i="2"/>
  <c r="P15" i="2"/>
  <c r="M15" i="2"/>
  <c r="R14" i="2"/>
  <c r="Q14" i="2"/>
  <c r="P14" i="2"/>
  <c r="M14" i="2"/>
  <c r="R13" i="2"/>
  <c r="Q13" i="2"/>
  <c r="P13" i="2"/>
  <c r="M13" i="2"/>
  <c r="R12" i="2"/>
  <c r="Q12" i="2"/>
  <c r="P12" i="2"/>
  <c r="M12" i="2"/>
  <c r="R11" i="2"/>
  <c r="Q11" i="2"/>
  <c r="P11" i="2"/>
  <c r="M11" i="2"/>
  <c r="R10" i="2"/>
  <c r="Q10" i="2"/>
  <c r="P10" i="2"/>
  <c r="M10" i="2"/>
  <c r="H9" i="5" s="1"/>
  <c r="R9" i="2"/>
  <c r="Q9" i="2"/>
  <c r="P9" i="2"/>
  <c r="M9" i="2"/>
  <c r="H13" i="5" s="1"/>
  <c r="R8" i="2"/>
  <c r="Q8" i="2"/>
  <c r="P8" i="2"/>
  <c r="M8" i="2"/>
  <c r="R7" i="2"/>
  <c r="Q7" i="2"/>
  <c r="P7" i="2"/>
  <c r="M7" i="2"/>
  <c r="R6" i="2"/>
  <c r="K26" i="8" s="1"/>
  <c r="Q6" i="2"/>
  <c r="P6" i="2"/>
  <c r="M6" i="2"/>
  <c r="H12" i="5" s="1"/>
  <c r="R5" i="2"/>
  <c r="H15" i="7" s="1"/>
  <c r="Q5" i="2"/>
  <c r="P5" i="2"/>
  <c r="M5" i="2"/>
  <c r="G5" i="7" s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C50" i="8"/>
  <c r="B50" i="8"/>
  <c r="C49" i="8"/>
  <c r="B49" i="8"/>
  <c r="C48" i="8"/>
  <c r="B48" i="8"/>
  <c r="C47" i="8"/>
  <c r="B47" i="8"/>
  <c r="C46" i="8"/>
  <c r="B46" i="8"/>
  <c r="C45" i="8"/>
  <c r="B45" i="8"/>
  <c r="G25" i="8"/>
  <c r="G24" i="8"/>
  <c r="G23" i="8"/>
  <c r="G22" i="8"/>
  <c r="H21" i="8"/>
  <c r="G21" i="8"/>
  <c r="K17" i="8"/>
  <c r="I17" i="8"/>
  <c r="G17" i="8"/>
  <c r="A17" i="8"/>
  <c r="E17" i="8" l="1"/>
  <c r="K23" i="8"/>
  <c r="K31" i="8"/>
  <c r="K13" i="5"/>
  <c r="K14" i="5"/>
  <c r="K32" i="8"/>
  <c r="H24" i="7"/>
  <c r="H16" i="7"/>
  <c r="H23" i="7"/>
  <c r="K20" i="5"/>
  <c r="H22" i="7"/>
  <c r="K19" i="5"/>
  <c r="K11" i="5"/>
  <c r="H20" i="7"/>
  <c r="H18" i="7"/>
  <c r="H14" i="7"/>
  <c r="K15" i="5"/>
  <c r="B6" i="3"/>
  <c r="K9" i="5"/>
  <c r="K16" i="5"/>
  <c r="H24" i="8"/>
  <c r="K24" i="8"/>
  <c r="K17" i="5"/>
  <c r="K21" i="8"/>
  <c r="K25" i="8"/>
  <c r="Q91" i="2"/>
  <c r="H11" i="5"/>
  <c r="H17" i="7"/>
  <c r="Q88" i="2"/>
  <c r="K27" i="8"/>
  <c r="K12" i="5"/>
  <c r="H19" i="7"/>
  <c r="K29" i="8"/>
  <c r="H10" i="5"/>
  <c r="H21" i="7"/>
  <c r="K22" i="8"/>
  <c r="K28" i="8"/>
  <c r="K30" i="8"/>
  <c r="B11" i="3"/>
  <c r="H25" i="7"/>
  <c r="C17" i="8" l="1"/>
  <c r="C5" i="5"/>
</calcChain>
</file>

<file path=xl/sharedStrings.xml><?xml version="1.0" encoding="utf-8"?>
<sst xmlns="http://schemas.openxmlformats.org/spreadsheetml/2006/main" count="6132" uniqueCount="524">
  <si>
    <t>ELECTRONICS SALES – RAW DATA</t>
  </si>
  <si>
    <t>Order ID</t>
  </si>
  <si>
    <t>Order Date</t>
  </si>
  <si>
    <t>Customer Name</t>
  </si>
  <si>
    <t>City</t>
  </si>
  <si>
    <t>State</t>
  </si>
  <si>
    <t>Region</t>
  </si>
  <si>
    <t>Category</t>
  </si>
  <si>
    <t>Product Name</t>
  </si>
  <si>
    <t>Quantity</t>
  </si>
  <si>
    <t>Unit Price</t>
  </si>
  <si>
    <t>Discount %</t>
  </si>
  <si>
    <t>Sales Amount</t>
  </si>
  <si>
    <t>Profit</t>
  </si>
  <si>
    <t>Payment Mode</t>
  </si>
  <si>
    <t>Salesperson</t>
  </si>
  <si>
    <t>ORD-1001</t>
  </si>
  <si>
    <t>Karan Joshi</t>
  </si>
  <si>
    <t>Coimbatore</t>
  </si>
  <si>
    <t>Tamil Nadu</t>
  </si>
  <si>
    <t>South</t>
  </si>
  <si>
    <t>Accessories</t>
  </si>
  <si>
    <t>Keyboard</t>
  </si>
  <si>
    <t>Net Banking</t>
  </si>
  <si>
    <t>Meera</t>
  </si>
  <si>
    <t>ORD-1002</t>
  </si>
  <si>
    <t>Neha Patil</t>
  </si>
  <si>
    <t>Dwarka</t>
  </si>
  <si>
    <t>Delhi</t>
  </si>
  <si>
    <t>North</t>
  </si>
  <si>
    <t>Audio</t>
  </si>
  <si>
    <t>Bluetooth Speaker</t>
  </si>
  <si>
    <t>Diya</t>
  </si>
  <si>
    <t>ORD-1003</t>
  </si>
  <si>
    <t>Amit Shah</t>
  </si>
  <si>
    <t>Udaipur</t>
  </si>
  <si>
    <t>Rajasthan</t>
  </si>
  <si>
    <t>Headphones</t>
  </si>
  <si>
    <t>Cash</t>
  </si>
  <si>
    <t>Vivaan</t>
  </si>
  <si>
    <t>ORD-1004</t>
  </si>
  <si>
    <t>Vadodara</t>
  </si>
  <si>
    <t>Gujarat</t>
  </si>
  <si>
    <t>West</t>
  </si>
  <si>
    <t>USB Hub</t>
  </si>
  <si>
    <t>ORD-1005</t>
  </si>
  <si>
    <t>Raj Mehta</t>
  </si>
  <si>
    <t>Chennai</t>
  </si>
  <si>
    <t>Monitor</t>
  </si>
  <si>
    <t>LG 24 inch</t>
  </si>
  <si>
    <t>Debit Card</t>
  </si>
  <si>
    <t>Aarav</t>
  </si>
  <si>
    <t>ORD-1006</t>
  </si>
  <si>
    <t>Anaya Singh</t>
  </si>
  <si>
    <t>Laptop</t>
  </si>
  <si>
    <t>Lenovo IdeaPad</t>
  </si>
  <si>
    <t>ORD-1007</t>
  </si>
  <si>
    <t>Wireless Earbuds</t>
  </si>
  <si>
    <t>Credit Card</t>
  </si>
  <si>
    <t>Isha</t>
  </si>
  <si>
    <t>ORD-1008</t>
  </si>
  <si>
    <t>Riya Kapoor</t>
  </si>
  <si>
    <t>Rohini</t>
  </si>
  <si>
    <t>HP 15s</t>
  </si>
  <si>
    <t>ORD-1009</t>
  </si>
  <si>
    <t>ORD-1010</t>
  </si>
  <si>
    <t>ORD-1011</t>
  </si>
  <si>
    <t>Jodhpur</t>
  </si>
  <si>
    <t>Acer Aspire 5</t>
  </si>
  <si>
    <t>ORD-1012</t>
  </si>
  <si>
    <t>Sneha Rao</t>
  </si>
  <si>
    <t>Nashik</t>
  </si>
  <si>
    <t>Maharashtra</t>
  </si>
  <si>
    <t>UPI</t>
  </si>
  <si>
    <t>Kavya</t>
  </si>
  <si>
    <t>ORD-1013</t>
  </si>
  <si>
    <t>Surat</t>
  </si>
  <si>
    <t>Mobile</t>
  </si>
  <si>
    <t>Realme Pro</t>
  </si>
  <si>
    <t>Rohan</t>
  </si>
  <si>
    <t>ORD-1014</t>
  </si>
  <si>
    <t>Mumbai</t>
  </si>
  <si>
    <t>Wireless Mouse</t>
  </si>
  <si>
    <t>ORD-1015</t>
  </si>
  <si>
    <t>Harsh Jain</t>
  </si>
  <si>
    <t>ORD-1016</t>
  </si>
  <si>
    <t>Mysuru</t>
  </si>
  <si>
    <t>Karnataka</t>
  </si>
  <si>
    <t>ORD-1017</t>
  </si>
  <si>
    <t>Mangaluru</t>
  </si>
  <si>
    <t>Samsung 24 inch</t>
  </si>
  <si>
    <t>ORD-1018</t>
  </si>
  <si>
    <t>Ahmedabad</t>
  </si>
  <si>
    <t>ORD-1019</t>
  </si>
  <si>
    <t>Pooja Nair</t>
  </si>
  <si>
    <t>Bengaluru</t>
  </si>
  <si>
    <t>ORD-1020</t>
  </si>
  <si>
    <t>Aditya</t>
  </si>
  <si>
    <t>ORD-1021</t>
  </si>
  <si>
    <t>Samsung Galaxy A</t>
  </si>
  <si>
    <t>ORD-1022</t>
  </si>
  <si>
    <t>ORD-1023</t>
  </si>
  <si>
    <t>Jaipur</t>
  </si>
  <si>
    <t>ORD-1024</t>
  </si>
  <si>
    <t>Madurai</t>
  </si>
  <si>
    <t>Dell 27 inch</t>
  </si>
  <si>
    <t>ORD-1025</t>
  </si>
  <si>
    <t>ORD-1026</t>
  </si>
  <si>
    <t>ORD-1027</t>
  </si>
  <si>
    <t>ORD-1028</t>
  </si>
  <si>
    <t>Pune</t>
  </si>
  <si>
    <t>OnePlus Nord</t>
  </si>
  <si>
    <t>ORD-1029</t>
  </si>
  <si>
    <t>ORD-1030</t>
  </si>
  <si>
    <t>ORD-1031</t>
  </si>
  <si>
    <t>ORD-1032</t>
  </si>
  <si>
    <t>ORD-1033</t>
  </si>
  <si>
    <t>ORD-1034</t>
  </si>
  <si>
    <t>Arjun Desai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</si>
  <si>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</si>
  <si>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</si>
  <si>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</si>
  <si>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</si>
  <si>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</si>
  <si>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</si>
  <si>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</si>
  <si>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</si>
  <si>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</si>
  <si>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</si>
  <si>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</si>
  <si>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</si>
  <si>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</si>
  <si>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</si>
  <si>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</si>
  <si>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</si>
  <si>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</si>
  <si>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</si>
  <si>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</si>
  <si>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New Delhi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</si>
  <si>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</si>
  <si>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</si>
  <si>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</si>
  <si>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</si>
  <si>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</si>
  <si>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</si>
  <si>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</si>
  <si>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</si>
  <si>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</si>
  <si>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</si>
  <si>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</si>
  <si>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</si>
  <si>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</si>
  <si>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</si>
  <si>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</si>
  <si>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</si>
  <si>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</si>
  <si>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</si>
  <si>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</si>
  <si>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</si>
  <si>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</si>
  <si>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</si>
  <si>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</si>
  <si>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</si>
  <si>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</si>
  <si>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</si>
  <si>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</si>
  <si>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</si>
  <si>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</si>
  <si>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</si>
  <si>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</si>
  <si>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</si>
  <si>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</si>
  <si>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</si>
  <si>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</si>
  <si>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</si>
  <si>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</si>
  <si>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</si>
  <si>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</si>
  <si>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</si>
  <si>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</si>
  <si>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</si>
  <si>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</si>
  <si>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</si>
  <si>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</si>
  <si>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</si>
  <si>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</si>
  <si>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</si>
  <si>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</si>
  <si>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</si>
  <si>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</si>
  <si>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</si>
  <si>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</si>
  <si>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</si>
  <si>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</si>
  <si>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</si>
  <si>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</si>
  <si>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</si>
  <si>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</si>
  <si>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</si>
  <si>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</si>
  <si>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</si>
  <si>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</si>
  <si>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</si>
  <si>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</si>
  <si>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</si>
  <si>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</si>
  <si>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</si>
  <si>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</si>
  <si>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</si>
  <si>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</si>
  <si>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</si>
  <si>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</si>
  <si>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</si>
  <si>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</si>
  <si>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</si>
  <si>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</si>
  <si>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</si>
  <si>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</si>
  <si>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</si>
  <si>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</si>
  <si>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</si>
  <si>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</si>
  <si>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</si>
  <si>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</si>
  <si>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</si>
  <si>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</si>
  <si>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</si>
  <si>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</si>
  <si>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</si>
  <si>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</si>
  <si>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</si>
  <si>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</si>
  <si>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</si>
  <si>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</si>
  <si>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</si>
  <si>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</si>
  <si>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</si>
  <si>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</si>
  <si>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</si>
  <si>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</si>
  <si>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</si>
  <si>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</si>
  <si>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</si>
  <si>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</si>
  <si>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</si>
  <si>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</si>
  <si>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</si>
  <si>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</si>
  <si>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</si>
  <si>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</si>
  <si>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</si>
  <si>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</si>
  <si>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</si>
  <si>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</si>
  <si>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</si>
  <si>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</si>
  <si>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</si>
  <si>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</si>
  <si>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</si>
  <si>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</si>
  <si>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</si>
  <si>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</si>
  <si>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</si>
  <si>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</si>
  <si>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</si>
  <si>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</si>
  <si>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</si>
  <si>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</si>
  <si>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</si>
  <si>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</si>
  <si>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</si>
  <si>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</si>
  <si>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</si>
  <si>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</si>
  <si>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</si>
  <si>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</si>
  <si>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</si>
  <si>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</si>
  <si>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</si>
  <si>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</si>
  <si>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</si>
  <si>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</si>
  <si>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</si>
  <si>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</si>
  <si>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</si>
  <si>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</si>
  <si>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</si>
  <si>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</si>
  <si>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</si>
  <si>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</si>
  <si>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</si>
  <si>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</si>
  <si>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</si>
  <si>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</si>
  <si>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</si>
  <si>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</si>
  <si>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</si>
  <si>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</si>
  <si>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</si>
  <si>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</si>
  <si>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</si>
  <si>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</si>
  <si>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</si>
  <si>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</si>
  <si>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</si>
  <si>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</si>
  <si>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</si>
  <si>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</si>
  <si>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</si>
  <si>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</si>
  <si>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</si>
  <si>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</si>
  <si>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</si>
  <si>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</si>
  <si>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</si>
  <si>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</si>
  <si>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</si>
  <si>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</si>
  <si>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</si>
  <si>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</si>
  <si>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</si>
  <si>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</si>
  <si>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</si>
  <si>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</si>
  <si>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</si>
  <si>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</si>
  <si>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</si>
  <si>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</si>
  <si>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</si>
  <si>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</si>
  <si>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</si>
  <si>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</si>
  <si>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</si>
  <si>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</si>
  <si>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</si>
  <si>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</si>
  <si>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</si>
  <si>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</si>
  <si>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</si>
  <si>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</si>
  <si>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</si>
  <si>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</si>
  <si>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</si>
  <si>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</si>
  <si>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</si>
  <si>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</si>
  <si>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</si>
  <si>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</si>
  <si>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</si>
  <si>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</si>
  <si>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</si>
  <si>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</si>
  <si>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</si>
  <si>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</si>
  <si>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</si>
  <si>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</si>
  <si>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</si>
  <si>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</si>
  <si>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</si>
  <si>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</si>
  <si>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</si>
  <si>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</si>
  <si>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</si>
  <si>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</si>
  <si>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</si>
  <si>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</si>
  <si>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</si>
  <si>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</si>
  <si>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</si>
  <si>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</si>
  <si>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</si>
  <si>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</si>
  <si>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</si>
  <si>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</si>
  <si>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</si>
  <si>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</si>
  <si>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</si>
  <si>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</si>
  <si>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</si>
  <si>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</si>
  <si>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</si>
  <si>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</si>
  <si>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</si>
  <si>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</si>
  <si>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</si>
  <si>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</si>
  <si>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</si>
  <si>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</si>
  <si>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</si>
  <si>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</si>
  <si>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</si>
  <si>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</si>
  <si>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</si>
  <si>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</si>
  <si>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</si>
  <si>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</si>
  <si>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</si>
  <si>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</si>
  <si>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</si>
  <si>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</si>
  <si>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</si>
  <si>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</si>
  <si>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</si>
  <si>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</si>
  <si>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</si>
  <si>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</si>
  <si>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CLEANED ELECTRONICS SALES DATA</t>
  </si>
  <si>
    <t>Sales Level</t>
  </si>
  <si>
    <t>Profit Status</t>
  </si>
  <si>
    <t>Month</t>
  </si>
  <si>
    <t>SALES ANALYSIS AND FORMULAS</t>
  </si>
  <si>
    <t>KPI</t>
  </si>
  <si>
    <t>Formula Result</t>
  </si>
  <si>
    <t>Order ID Input</t>
  </si>
  <si>
    <t>XLOOKUP Sales</t>
  </si>
  <si>
    <t>INDEX-MATCH Product</t>
  </si>
  <si>
    <t>IF Sales Level</t>
  </si>
  <si>
    <t>Customer</t>
  </si>
  <si>
    <t>Total Sales</t>
  </si>
  <si>
    <t>Total Profit</t>
  </si>
  <si>
    <t>Average Order Value</t>
  </si>
  <si>
    <t>Highest Sale</t>
  </si>
  <si>
    <t>Lowest Sale</t>
  </si>
  <si>
    <t>Total Orders</t>
  </si>
  <si>
    <t>Orders with High Sales</t>
  </si>
  <si>
    <t>West Region Sales</t>
  </si>
  <si>
    <t>Formula</t>
  </si>
  <si>
    <t>Purpose</t>
  </si>
  <si>
    <t>Example Result</t>
  </si>
  <si>
    <t>SUM / SUMIF</t>
  </si>
  <si>
    <t>Total and conditional total</t>
  </si>
  <si>
    <t>COUNTIF / AVERAGE</t>
  </si>
  <si>
    <t>Count and average calculations</t>
  </si>
  <si>
    <t>XLOOKUP / INDEX-MATCH / IF</t>
  </si>
  <si>
    <t>Lookup and logical classification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</si>
  <si>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</si>
  <si>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</si>
  <si>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</si>
  <si>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</si>
  <si>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</si>
  <si>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</si>
  <si>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</si>
  <si>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</si>
  <si>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</si>
  <si>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</si>
  <si>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</si>
  <si>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</si>
  <si>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</si>
  <si>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</si>
  <si>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</si>
  <si>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</si>
  <si>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</si>
  <si>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</si>
  <si>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</si>
  <si>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</si>
  <si>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</si>
  <si>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</si>
  <si>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</si>
  <si>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</si>
  <si>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</si>
  <si>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</si>
  <si>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</si>
  <si>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2</t>
  </si>
  <si>
    <t>Residuals</t>
  </si>
  <si>
    <t>Standard Residuals</t>
  </si>
  <si>
    <t>Percentile</t>
  </si>
  <si>
    <t>SUMMARY REPORTS (PIVOT-STYLE)</t>
  </si>
  <si>
    <t>Highest Sales</t>
  </si>
  <si>
    <t>Lowest Sales</t>
  </si>
  <si>
    <t>Total Order</t>
  </si>
  <si>
    <t>Avg order value</t>
  </si>
  <si>
    <t>Row Labels</t>
  </si>
  <si>
    <t>Sum of Sales Amount</t>
  </si>
  <si>
    <t>Sum of Profit</t>
  </si>
  <si>
    <t>Monthly Sales</t>
  </si>
  <si>
    <t>Jan</t>
  </si>
  <si>
    <t>Feb</t>
  </si>
  <si>
    <t>Mar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</si>
  <si>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</si>
  <si>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</si>
  <si>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</si>
  <si>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</si>
  <si>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</si>
  <si>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</si>
  <si>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</si>
  <si>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</si>
  <si>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</si>
  <si>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</si>
  <si>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Orders</t>
  </si>
  <si>
    <t>Sales</t>
  </si>
  <si>
    <t>- all -</t>
  </si>
  <si>
    <t>Data</t>
  </si>
  <si>
    <t>Sum of Orders</t>
  </si>
  <si>
    <t>Sum of Sales</t>
  </si>
  <si>
    <t>Total Result</t>
  </si>
  <si>
    <t>All</t>
  </si>
  <si>
    <t xml:space="preserve"> ELECTRONICS SALES DASHBOARD</t>
  </si>
  <si>
    <t>Filter</t>
  </si>
  <si>
    <t>Selection</t>
  </si>
  <si>
    <t>TOTAL SALES</t>
  </si>
  <si>
    <t>TOTAL PROFIT</t>
  </si>
  <si>
    <t>TOTAL ORDERS</t>
  </si>
  <si>
    <t>AVG ORDER VALUE</t>
  </si>
  <si>
    <t>PROJECT DOCUMENTATION</t>
  </si>
  <si>
    <t>Author</t>
  </si>
  <si>
    <t>Tej Patel</t>
  </si>
  <si>
    <t>Project Name</t>
  </si>
  <si>
    <t>Electronics Sales Dashboard</t>
  </si>
  <si>
    <t>Dataset Type</t>
  </si>
  <si>
    <t>Sales – Electronics Products</t>
  </si>
  <si>
    <t>Excel Version</t>
  </si>
  <si>
    <t>Microsoft Excel 365 / Updated Version</t>
  </si>
  <si>
    <t>Total Records</t>
  </si>
  <si>
    <t>320</t>
  </si>
  <si>
    <t>Main Sheets</t>
  </si>
  <si>
    <t>Raw_Data, Clean_Data, Analysis, Pivot_Reports, Dashboard</t>
  </si>
  <si>
    <t>Formulas Used</t>
  </si>
  <si>
    <t>SUM, AVERAGE, MAX, MIN, COUNTIF, SUMIF, IF, XLOOKUP, INDEX-MATCH, SUMPRODUCT</t>
  </si>
  <si>
    <t>Features Used</t>
  </si>
  <si>
    <t>Tables, formatting, data validation, conditional formatting, charts and dashboard</t>
  </si>
  <si>
    <t>Dashboard Filters</t>
  </si>
  <si>
    <t>State, Category and Region dropdowns</t>
  </si>
  <si>
    <t>Note</t>
  </si>
  <si>
    <t>Project is intentionally simple and suitable for a beginner practical exam.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</si>
</sst>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.00"/>
    <numFmt numFmtId="166" formatCode="[$-F800]dddd&quot;, &quot;mmmm\ dd&quot;, &quot;yyyy"/>
    <numFmt numFmtId="167" formatCode="&quot;₹ &quot;#,##0.00"/>
  </numFmts>
  <fonts count="10" x14ac:knownFonts="1">
    <font>
      <sz val="11"/>
      <name val="Calibri"/>
      <charset val="1"/>
    </font>
    <font>
      <b/>
      <sz val="11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i/>
      <sz val="11"/>
      <name val="Calibri"/>
      <charset val="1"/>
    </font>
    <font>
      <b/>
      <sz val="11"/>
      <color theme="0"/>
      <name val="Calibri"/>
      <charset val="1"/>
    </font>
    <font>
      <b/>
      <sz val="15"/>
      <color rgb="FF14532D"/>
      <name val="Calibri"/>
      <charset val="1"/>
    </font>
    <font>
      <sz val="11"/>
      <color rgb="FF1F2937"/>
      <name val="Calibri"/>
      <charset val="1"/>
    </font>
    <font>
      <sz val="11"/>
      <color theme="1"/>
      <name val="Calibri"/>
      <charset val="1"/>
    </font>
    <font>
      <sz val="11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332"/>
        <bgColor rgb="FF14532D"/>
      </patternFill>
    </fill>
    <fill>
      <patternFill patternType="solid">
        <fgColor rgb="FF2F855A"/>
        <bgColor rgb="FF196B24"/>
      </patternFill>
    </fill>
    <fill>
      <patternFill patternType="solid">
        <fgColor theme="4" tint="-0.249977111117893"/>
        <bgColor rgb="FF1B4332"/>
      </patternFill>
    </fill>
    <fill>
      <patternFill patternType="solid">
        <fgColor rgb="FFF4A261"/>
        <bgColor rgb="FFFF9900"/>
      </patternFill>
    </fill>
    <fill>
      <patternFill patternType="solid">
        <fgColor theme="3" tint="0.24988555558946501"/>
        <bgColor rgb="FF156082"/>
      </patternFill>
    </fill>
    <fill>
      <patternFill patternType="solid">
        <fgColor theme="3" tint="0.89989928891872917"/>
        <bgColor rgb="FFDCFCE7"/>
      </patternFill>
    </fill>
    <fill>
      <patternFill patternType="solid">
        <fgColor theme="6" tint="0.79989013336588644"/>
        <bgColor rgb="FFDCFCE7"/>
      </patternFill>
    </fill>
    <fill>
      <patternFill patternType="solid">
        <fgColor rgb="FFFF0000"/>
        <bgColor rgb="FF991B1B"/>
      </patternFill>
    </fill>
    <fill>
      <patternFill patternType="solid">
        <fgColor theme="5" tint="0.79989013336588644"/>
        <bgColor rgb="FFFECACA"/>
      </patternFill>
    </fill>
    <fill>
      <patternFill patternType="solid">
        <fgColor rgb="FFECFDF5"/>
        <bgColor rgb="FFF0FDF4"/>
      </patternFill>
    </fill>
    <fill>
      <patternFill patternType="solid">
        <fgColor rgb="FFFFFFFF"/>
        <bgColor rgb="FFF0FDF4"/>
      </patternFill>
    </fill>
    <fill>
      <patternFill patternType="solid">
        <fgColor rgb="FFF0FDF4"/>
        <bgColor rgb="FFECFDF5"/>
      </patternFill>
    </fill>
  </fills>
  <borders count="28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7">
    <xf numFmtId="0" fontId="0" fillId="0" borderId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73">
    <xf numFmtId="0" fontId="0" fillId="0" borderId="0" xfId="0"/>
    <xf numFmtId="0" fontId="4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7" xfId="0" applyBorder="1"/>
    <xf numFmtId="165" fontId="0" fillId="0" borderId="7" xfId="0" applyNumberFormat="1" applyBorder="1"/>
    <xf numFmtId="9" fontId="0" fillId="0" borderId="7" xfId="0" applyNumberFormat="1" applyBorder="1"/>
    <xf numFmtId="0" fontId="0" fillId="0" borderId="8" xfId="0" applyBorder="1"/>
    <xf numFmtId="166" fontId="0" fillId="0" borderId="0" xfId="0" applyNumberFormat="1"/>
    <xf numFmtId="2" fontId="0" fillId="0" borderId="0" xfId="0" applyNumberFormat="1"/>
    <xf numFmtId="166" fontId="0" fillId="0" borderId="7" xfId="0" applyNumberFormat="1" applyBorder="1"/>
    <xf numFmtId="2" fontId="0" fillId="0" borderId="7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0" borderId="10" xfId="0" applyBorder="1"/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67" fontId="0" fillId="8" borderId="0" xfId="0" applyNumberFormat="1" applyFill="1" applyAlignment="1">
      <alignment horizontal="center" vertical="center"/>
    </xf>
    <xf numFmtId="167" fontId="0" fillId="9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7" fontId="0" fillId="10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1"/>
    <xf numFmtId="0" fontId="0" fillId="0" borderId="11" xfId="0" applyBorder="1"/>
    <xf numFmtId="0" fontId="9" fillId="0" borderId="12" xfId="2" applyBorder="1"/>
    <xf numFmtId="0" fontId="9" fillId="0" borderId="13" xfId="1" applyBorder="1"/>
    <xf numFmtId="0" fontId="9" fillId="0" borderId="14" xfId="2" applyBorder="1"/>
    <xf numFmtId="0" fontId="9" fillId="0" borderId="15" xfId="1" applyBorder="1"/>
    <xf numFmtId="0" fontId="9" fillId="0" borderId="16" xfId="4" applyBorder="1">
      <alignment horizontal="left"/>
    </xf>
    <xf numFmtId="0" fontId="9" fillId="0" borderId="17" xfId="4" applyBorder="1">
      <alignment horizontal="left"/>
    </xf>
    <xf numFmtId="0" fontId="9" fillId="0" borderId="18" xfId="4" applyBorder="1">
      <alignment horizontal="left"/>
    </xf>
    <xf numFmtId="165" fontId="9" fillId="0" borderId="19" xfId="3" applyNumberFormat="1" applyBorder="1"/>
    <xf numFmtId="165" fontId="9" fillId="0" borderId="20" xfId="3" applyNumberFormat="1" applyBorder="1"/>
    <xf numFmtId="0" fontId="9" fillId="0" borderId="21" xfId="4" applyBorder="1">
      <alignment horizontal="left"/>
    </xf>
    <xf numFmtId="165" fontId="9" fillId="0" borderId="22" xfId="3" applyNumberFormat="1" applyBorder="1"/>
    <xf numFmtId="165" fontId="9" fillId="0" borderId="23" xfId="3" applyNumberFormat="1" applyBorder="1"/>
    <xf numFmtId="0" fontId="9" fillId="0" borderId="19" xfId="3" applyBorder="1"/>
    <xf numFmtId="0" fontId="9" fillId="0" borderId="22" xfId="3" applyBorder="1"/>
    <xf numFmtId="165" fontId="9" fillId="0" borderId="16" xfId="3" applyNumberFormat="1" applyBorder="1"/>
    <xf numFmtId="165" fontId="9" fillId="0" borderId="17" xfId="3" applyNumberFormat="1" applyBorder="1"/>
    <xf numFmtId="0" fontId="1" fillId="0" borderId="24" xfId="5" applyBorder="1">
      <alignment horizontal="left"/>
    </xf>
    <xf numFmtId="165" fontId="1" fillId="0" borderId="25" xfId="6" applyNumberFormat="1" applyBorder="1"/>
    <xf numFmtId="165" fontId="1" fillId="0" borderId="26" xfId="6" applyNumberFormat="1" applyBorder="1"/>
    <xf numFmtId="0" fontId="9" fillId="0" borderId="16" xfId="3" applyBorder="1"/>
    <xf numFmtId="0" fontId="1" fillId="0" borderId="25" xfId="6" applyBorder="1"/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left" vertical="center" indent="1"/>
    </xf>
    <xf numFmtId="165" fontId="7" fillId="12" borderId="27" xfId="0" applyNumberFormat="1" applyFont="1" applyFill="1" applyBorder="1" applyAlignment="1">
      <alignment horizontal="right" vertical="center" indent="1"/>
    </xf>
    <xf numFmtId="0" fontId="7" fillId="12" borderId="27" xfId="0" applyFont="1" applyFill="1" applyBorder="1" applyAlignment="1">
      <alignment horizontal="right" vertical="center" indent="1"/>
    </xf>
    <xf numFmtId="0" fontId="7" fillId="13" borderId="27" xfId="0" applyFont="1" applyFill="1" applyBorder="1" applyAlignment="1">
      <alignment horizontal="left" vertical="center" indent="1"/>
    </xf>
    <xf numFmtId="165" fontId="7" fillId="13" borderId="27" xfId="0" applyNumberFormat="1" applyFont="1" applyFill="1" applyBorder="1" applyAlignment="1">
      <alignment horizontal="right" vertical="center" indent="1"/>
    </xf>
    <xf numFmtId="0" fontId="7" fillId="13" borderId="27" xfId="0" applyFont="1" applyFill="1" applyBorder="1" applyAlignment="1">
      <alignment horizontal="right" vertical="center" indent="1"/>
    </xf>
    <xf numFmtId="0" fontId="8" fillId="12" borderId="1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165" fontId="6" fillId="11" borderId="27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6" fillId="11" borderId="2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0" fillId="0" borderId="11" xfId="0" applyBorder="1" applyAlignment="1">
      <alignment horizontal="left"/>
    </xf>
  </cellXfs>
  <cellStyles count="7">
    <cellStyle name="Normal" xfId="0" builtinId="0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2"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4EA72E"/>
      <rgbColor rgb="FF800080"/>
      <rgbColor rgb="FF156082"/>
      <rgbColor rgb="FFCCCCCC"/>
      <rgbColor rgb="FF8B8B8B"/>
      <rgbColor rgb="FF9999FF"/>
      <rgbColor rgb="FFA02B93"/>
      <rgbColor rgb="FFF0FDF4"/>
      <rgbColor rgb="FFDCFCE7"/>
      <rgbColor rgb="FF660066"/>
      <rgbColor rgb="FFF4A261"/>
      <rgbColor rgb="FF215F9A"/>
      <rgbColor rgb="FFD1D5DB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F9ED5"/>
      <rgbColor rgb="FFECFDF5"/>
      <rgbColor rgb="FFC2F1C8"/>
      <rgbColor rgb="FFFBE3D6"/>
      <rgbColor rgb="FFD9D9D9"/>
      <rgbColor rgb="FFFF99CC"/>
      <rgbColor rgb="FFDCEAF7"/>
      <rgbColor rgb="FFFECACA"/>
      <rgbColor rgb="FF3366FF"/>
      <rgbColor rgb="FF33CCCC"/>
      <rgbColor rgb="FF99CC00"/>
      <rgbColor rgb="FFFFCC00"/>
      <rgbColor rgb="FFFF9900"/>
      <rgbColor rgb="FFE97132"/>
      <rgbColor rgb="FF595959"/>
      <rgbColor rgb="FF9CA3AF"/>
      <rgbColor rgb="FF104862"/>
      <rgbColor rgb="FF2F855A"/>
      <rgbColor rgb="FF1B4332"/>
      <rgbColor rgb="FF1F2937"/>
      <rgbColor rgb="FF991B1B"/>
      <rgbColor rgb="FF993366"/>
      <rgbColor rgb="FF14532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'Summary output'!$F$25:$F$343</c:f>
              <c:numCache>
                <c:formatCode>General</c:formatCode>
                <c:ptCount val="319"/>
                <c:pt idx="0">
                  <c:v>0.156739811912226</c:v>
                </c:pt>
                <c:pt idx="1">
                  <c:v>0.47021943573667702</c:v>
                </c:pt>
                <c:pt idx="2">
                  <c:v>0.78369905956112895</c:v>
                </c:pt>
                <c:pt idx="3">
                  <c:v>1.0971786833855799</c:v>
                </c:pt>
                <c:pt idx="4">
                  <c:v>1.41065830721003</c:v>
                </c:pt>
                <c:pt idx="5">
                  <c:v>1.72413793103448</c:v>
                </c:pt>
                <c:pt idx="6">
                  <c:v>2.0376175548589299</c:v>
                </c:pt>
                <c:pt idx="7">
                  <c:v>2.3510971786833901</c:v>
                </c:pt>
                <c:pt idx="8">
                  <c:v>2.66457680250784</c:v>
                </c:pt>
                <c:pt idx="9">
                  <c:v>2.97805642633229</c:v>
                </c:pt>
                <c:pt idx="10">
                  <c:v>3.2915360501567399</c:v>
                </c:pt>
                <c:pt idx="11">
                  <c:v>3.6050156739811898</c:v>
                </c:pt>
                <c:pt idx="12">
                  <c:v>3.9184952978056402</c:v>
                </c:pt>
                <c:pt idx="13">
                  <c:v>4.2319749216300897</c:v>
                </c:pt>
                <c:pt idx="14">
                  <c:v>4.5454545454545503</c:v>
                </c:pt>
                <c:pt idx="15">
                  <c:v>4.8589341692790002</c:v>
                </c:pt>
                <c:pt idx="16">
                  <c:v>5.1724137931034502</c:v>
                </c:pt>
                <c:pt idx="17">
                  <c:v>5.4858934169279001</c:v>
                </c:pt>
                <c:pt idx="18">
                  <c:v>5.7993730407523501</c:v>
                </c:pt>
                <c:pt idx="19">
                  <c:v>6.1128526645768</c:v>
                </c:pt>
                <c:pt idx="20">
                  <c:v>6.4263322884012499</c:v>
                </c:pt>
                <c:pt idx="21">
                  <c:v>6.7398119122257096</c:v>
                </c:pt>
                <c:pt idx="22">
                  <c:v>7.0532915360501596</c:v>
                </c:pt>
                <c:pt idx="23">
                  <c:v>7.3667711598746104</c:v>
                </c:pt>
                <c:pt idx="24">
                  <c:v>7.6802507836990603</c:v>
                </c:pt>
                <c:pt idx="25">
                  <c:v>7.9937304075235103</c:v>
                </c:pt>
                <c:pt idx="26">
                  <c:v>8.3072100313479602</c:v>
                </c:pt>
                <c:pt idx="27">
                  <c:v>8.6206896551724199</c:v>
                </c:pt>
                <c:pt idx="28">
                  <c:v>8.9341692789968707</c:v>
                </c:pt>
                <c:pt idx="29">
                  <c:v>9.2476489028213198</c:v>
                </c:pt>
                <c:pt idx="30">
                  <c:v>9.5611285266457706</c:v>
                </c:pt>
                <c:pt idx="31">
                  <c:v>9.8746081504702197</c:v>
                </c:pt>
                <c:pt idx="32">
                  <c:v>10.188087774294701</c:v>
                </c:pt>
                <c:pt idx="33">
                  <c:v>10.5015673981191</c:v>
                </c:pt>
                <c:pt idx="34">
                  <c:v>10.815047021943601</c:v>
                </c:pt>
                <c:pt idx="35">
                  <c:v>11.128526645768</c:v>
                </c:pt>
                <c:pt idx="36">
                  <c:v>11.4420062695925</c:v>
                </c:pt>
                <c:pt idx="37">
                  <c:v>11.7554858934169</c:v>
                </c:pt>
                <c:pt idx="38">
                  <c:v>12.0689655172414</c:v>
                </c:pt>
                <c:pt idx="39">
                  <c:v>12.3824451410658</c:v>
                </c:pt>
                <c:pt idx="40">
                  <c:v>12.6959247648903</c:v>
                </c:pt>
                <c:pt idx="41">
                  <c:v>13.0094043887147</c:v>
                </c:pt>
                <c:pt idx="42">
                  <c:v>13.3228840125392</c:v>
                </c:pt>
                <c:pt idx="43">
                  <c:v>13.636363636363599</c:v>
                </c:pt>
                <c:pt idx="44">
                  <c:v>13.9498432601881</c:v>
                </c:pt>
                <c:pt idx="45">
                  <c:v>14.263322884012499</c:v>
                </c:pt>
                <c:pt idx="46">
                  <c:v>14.576802507837</c:v>
                </c:pt>
                <c:pt idx="47">
                  <c:v>14.890282131661399</c:v>
                </c:pt>
                <c:pt idx="48">
                  <c:v>15.2037617554859</c:v>
                </c:pt>
                <c:pt idx="49">
                  <c:v>15.5172413793104</c:v>
                </c:pt>
                <c:pt idx="50">
                  <c:v>15.8307210031348</c:v>
                </c:pt>
                <c:pt idx="51">
                  <c:v>16.1442006269593</c:v>
                </c:pt>
                <c:pt idx="52">
                  <c:v>16.457680250783699</c:v>
                </c:pt>
                <c:pt idx="53">
                  <c:v>16.771159874608198</c:v>
                </c:pt>
                <c:pt idx="54">
                  <c:v>17.084639498432601</c:v>
                </c:pt>
                <c:pt idx="55">
                  <c:v>17.3981191222571</c:v>
                </c:pt>
                <c:pt idx="56">
                  <c:v>17.711598746081499</c:v>
                </c:pt>
                <c:pt idx="57">
                  <c:v>18.025078369906002</c:v>
                </c:pt>
                <c:pt idx="58">
                  <c:v>18.338557993730401</c:v>
                </c:pt>
                <c:pt idx="59">
                  <c:v>18.6520376175549</c:v>
                </c:pt>
                <c:pt idx="60">
                  <c:v>18.965517241379299</c:v>
                </c:pt>
                <c:pt idx="61">
                  <c:v>19.278996865203801</c:v>
                </c:pt>
                <c:pt idx="62">
                  <c:v>19.592476489028201</c:v>
                </c:pt>
                <c:pt idx="63">
                  <c:v>19.905956112852699</c:v>
                </c:pt>
                <c:pt idx="64">
                  <c:v>20.219435736677099</c:v>
                </c:pt>
                <c:pt idx="65">
                  <c:v>20.532915360501601</c:v>
                </c:pt>
                <c:pt idx="66">
                  <c:v>20.846394984326</c:v>
                </c:pt>
                <c:pt idx="67">
                  <c:v>21.159874608150499</c:v>
                </c:pt>
                <c:pt idx="68">
                  <c:v>21.473354231974898</c:v>
                </c:pt>
                <c:pt idx="69">
                  <c:v>21.786833855799401</c:v>
                </c:pt>
                <c:pt idx="70">
                  <c:v>22.1003134796238</c:v>
                </c:pt>
                <c:pt idx="71">
                  <c:v>22.413793103448299</c:v>
                </c:pt>
                <c:pt idx="72">
                  <c:v>22.727272727272702</c:v>
                </c:pt>
                <c:pt idx="73">
                  <c:v>23.040752351097201</c:v>
                </c:pt>
                <c:pt idx="74">
                  <c:v>23.3542319749216</c:v>
                </c:pt>
                <c:pt idx="75">
                  <c:v>23.667711598746099</c:v>
                </c:pt>
                <c:pt idx="76">
                  <c:v>23.981191222570502</c:v>
                </c:pt>
                <c:pt idx="77">
                  <c:v>24.294670846395</c:v>
                </c:pt>
                <c:pt idx="78">
                  <c:v>24.6081504702194</c:v>
                </c:pt>
                <c:pt idx="79">
                  <c:v>24.921630094043898</c:v>
                </c:pt>
                <c:pt idx="80">
                  <c:v>25.235109717868301</c:v>
                </c:pt>
                <c:pt idx="81">
                  <c:v>25.5485893416928</c:v>
                </c:pt>
                <c:pt idx="82">
                  <c:v>25.862068965517199</c:v>
                </c:pt>
                <c:pt idx="83">
                  <c:v>26.175548589341702</c:v>
                </c:pt>
                <c:pt idx="84">
                  <c:v>26.489028213166101</c:v>
                </c:pt>
                <c:pt idx="85">
                  <c:v>26.8025078369906</c:v>
                </c:pt>
                <c:pt idx="86">
                  <c:v>27.115987460815099</c:v>
                </c:pt>
                <c:pt idx="87">
                  <c:v>27.429467084639501</c:v>
                </c:pt>
                <c:pt idx="88">
                  <c:v>27.742946708464</c:v>
                </c:pt>
                <c:pt idx="89">
                  <c:v>28.0564263322884</c:v>
                </c:pt>
                <c:pt idx="90">
                  <c:v>28.369905956112898</c:v>
                </c:pt>
                <c:pt idx="91">
                  <c:v>28.683385579937301</c:v>
                </c:pt>
                <c:pt idx="92">
                  <c:v>28.9968652037618</c:v>
                </c:pt>
                <c:pt idx="93">
                  <c:v>29.310344827586199</c:v>
                </c:pt>
                <c:pt idx="94">
                  <c:v>29.623824451410702</c:v>
                </c:pt>
                <c:pt idx="95">
                  <c:v>29.937304075235101</c:v>
                </c:pt>
                <c:pt idx="96">
                  <c:v>30.2507836990596</c:v>
                </c:pt>
                <c:pt idx="97">
                  <c:v>30.564263322883999</c:v>
                </c:pt>
                <c:pt idx="98">
                  <c:v>30.877742946708501</c:v>
                </c:pt>
                <c:pt idx="99">
                  <c:v>31.191222570532901</c:v>
                </c:pt>
                <c:pt idx="100">
                  <c:v>31.504702194357399</c:v>
                </c:pt>
                <c:pt idx="101">
                  <c:v>31.818181818181799</c:v>
                </c:pt>
                <c:pt idx="102">
                  <c:v>32.131661442006298</c:v>
                </c:pt>
                <c:pt idx="103">
                  <c:v>32.445141065830697</c:v>
                </c:pt>
                <c:pt idx="104">
                  <c:v>32.758620689655203</c:v>
                </c:pt>
                <c:pt idx="105">
                  <c:v>33.072100313479602</c:v>
                </c:pt>
                <c:pt idx="106">
                  <c:v>33.385579937304101</c:v>
                </c:pt>
                <c:pt idx="107">
                  <c:v>33.6990595611285</c:v>
                </c:pt>
                <c:pt idx="108">
                  <c:v>34.012539184952999</c:v>
                </c:pt>
                <c:pt idx="109">
                  <c:v>34.326018808777398</c:v>
                </c:pt>
                <c:pt idx="110">
                  <c:v>34.639498432601897</c:v>
                </c:pt>
                <c:pt idx="111">
                  <c:v>34.952978056426304</c:v>
                </c:pt>
                <c:pt idx="112">
                  <c:v>35.266457680250802</c:v>
                </c:pt>
                <c:pt idx="113">
                  <c:v>35.579937304075202</c:v>
                </c:pt>
                <c:pt idx="114">
                  <c:v>35.8934169278997</c:v>
                </c:pt>
                <c:pt idx="115">
                  <c:v>36.2068965517241</c:v>
                </c:pt>
                <c:pt idx="116">
                  <c:v>36.520376175548598</c:v>
                </c:pt>
                <c:pt idx="117">
                  <c:v>36.833855799372998</c:v>
                </c:pt>
                <c:pt idx="118">
                  <c:v>37.147335423197497</c:v>
                </c:pt>
                <c:pt idx="119">
                  <c:v>37.460815047022002</c:v>
                </c:pt>
                <c:pt idx="120">
                  <c:v>37.774294670846402</c:v>
                </c:pt>
                <c:pt idx="121">
                  <c:v>38.087774294670901</c:v>
                </c:pt>
                <c:pt idx="122">
                  <c:v>38.4012539184953</c:v>
                </c:pt>
                <c:pt idx="123">
                  <c:v>38.714733542319799</c:v>
                </c:pt>
                <c:pt idx="124">
                  <c:v>39.028213166144198</c:v>
                </c:pt>
                <c:pt idx="125">
                  <c:v>39.341692789968697</c:v>
                </c:pt>
                <c:pt idx="126">
                  <c:v>39.655172413793103</c:v>
                </c:pt>
                <c:pt idx="127">
                  <c:v>39.968652037617602</c:v>
                </c:pt>
                <c:pt idx="128">
                  <c:v>40.282131661442001</c:v>
                </c:pt>
                <c:pt idx="129">
                  <c:v>40.5956112852665</c:v>
                </c:pt>
                <c:pt idx="130">
                  <c:v>40.909090909090899</c:v>
                </c:pt>
                <c:pt idx="131">
                  <c:v>41.222570532915398</c:v>
                </c:pt>
                <c:pt idx="132">
                  <c:v>41.536050156739798</c:v>
                </c:pt>
                <c:pt idx="133">
                  <c:v>41.849529780564303</c:v>
                </c:pt>
                <c:pt idx="134">
                  <c:v>42.163009404388703</c:v>
                </c:pt>
                <c:pt idx="135">
                  <c:v>42.476489028213201</c:v>
                </c:pt>
                <c:pt idx="136">
                  <c:v>42.789968652037601</c:v>
                </c:pt>
                <c:pt idx="137">
                  <c:v>43.1034482758621</c:v>
                </c:pt>
                <c:pt idx="138">
                  <c:v>43.416927899686499</c:v>
                </c:pt>
                <c:pt idx="139">
                  <c:v>43.730407523510998</c:v>
                </c:pt>
                <c:pt idx="140">
                  <c:v>44.043887147335397</c:v>
                </c:pt>
                <c:pt idx="141">
                  <c:v>44.357366771159903</c:v>
                </c:pt>
                <c:pt idx="142">
                  <c:v>44.670846394984302</c:v>
                </c:pt>
                <c:pt idx="143">
                  <c:v>44.984326018808801</c:v>
                </c:pt>
                <c:pt idx="144">
                  <c:v>45.2978056426332</c:v>
                </c:pt>
                <c:pt idx="145">
                  <c:v>45.611285266457699</c:v>
                </c:pt>
                <c:pt idx="146">
                  <c:v>45.924764890282098</c:v>
                </c:pt>
                <c:pt idx="147">
                  <c:v>46.238244514106597</c:v>
                </c:pt>
                <c:pt idx="148">
                  <c:v>46.551724137930997</c:v>
                </c:pt>
                <c:pt idx="149">
                  <c:v>46.865203761755502</c:v>
                </c:pt>
                <c:pt idx="150">
                  <c:v>47.178683385579902</c:v>
                </c:pt>
                <c:pt idx="151">
                  <c:v>47.4921630094044</c:v>
                </c:pt>
                <c:pt idx="152">
                  <c:v>47.8056426332288</c:v>
                </c:pt>
                <c:pt idx="153">
                  <c:v>48.119122257053299</c:v>
                </c:pt>
                <c:pt idx="154">
                  <c:v>48.432601880877797</c:v>
                </c:pt>
                <c:pt idx="155">
                  <c:v>48.746081504702197</c:v>
                </c:pt>
                <c:pt idx="156">
                  <c:v>49.059561128526703</c:v>
                </c:pt>
                <c:pt idx="157">
                  <c:v>49.373040752351102</c:v>
                </c:pt>
                <c:pt idx="158">
                  <c:v>49.686520376175601</c:v>
                </c:pt>
                <c:pt idx="159">
                  <c:v>50</c:v>
                </c:pt>
                <c:pt idx="160">
                  <c:v>50.313479623824499</c:v>
                </c:pt>
                <c:pt idx="161">
                  <c:v>50.626959247648898</c:v>
                </c:pt>
                <c:pt idx="162">
                  <c:v>50.940438871473397</c:v>
                </c:pt>
                <c:pt idx="163">
                  <c:v>51.253918495297803</c:v>
                </c:pt>
                <c:pt idx="164">
                  <c:v>51.567398119122302</c:v>
                </c:pt>
                <c:pt idx="165">
                  <c:v>51.880877742946701</c:v>
                </c:pt>
                <c:pt idx="166">
                  <c:v>52.1943573667712</c:v>
                </c:pt>
                <c:pt idx="167">
                  <c:v>52.5078369905956</c:v>
                </c:pt>
                <c:pt idx="168">
                  <c:v>52.821316614420098</c:v>
                </c:pt>
                <c:pt idx="169">
                  <c:v>53.134796238244498</c:v>
                </c:pt>
                <c:pt idx="170">
                  <c:v>53.448275862069003</c:v>
                </c:pt>
                <c:pt idx="171">
                  <c:v>53.761755485893403</c:v>
                </c:pt>
                <c:pt idx="172">
                  <c:v>54.075235109717902</c:v>
                </c:pt>
                <c:pt idx="173">
                  <c:v>54.388714733542301</c:v>
                </c:pt>
                <c:pt idx="174">
                  <c:v>54.7021943573668</c:v>
                </c:pt>
                <c:pt idx="175">
                  <c:v>55.015673981191199</c:v>
                </c:pt>
                <c:pt idx="176">
                  <c:v>55.329153605015698</c:v>
                </c:pt>
                <c:pt idx="177">
                  <c:v>55.642633228840097</c:v>
                </c:pt>
                <c:pt idx="178">
                  <c:v>55.956112852664603</c:v>
                </c:pt>
                <c:pt idx="179">
                  <c:v>56.269592476489002</c:v>
                </c:pt>
                <c:pt idx="180">
                  <c:v>56.583072100313501</c:v>
                </c:pt>
                <c:pt idx="181">
                  <c:v>56.8965517241379</c:v>
                </c:pt>
                <c:pt idx="182">
                  <c:v>57.210031347962399</c:v>
                </c:pt>
                <c:pt idx="183">
                  <c:v>57.523510971786799</c:v>
                </c:pt>
                <c:pt idx="184">
                  <c:v>57.836990595611297</c:v>
                </c:pt>
                <c:pt idx="185">
                  <c:v>58.150470219435697</c:v>
                </c:pt>
                <c:pt idx="186">
                  <c:v>58.463949843260202</c:v>
                </c:pt>
                <c:pt idx="187">
                  <c:v>58.777429467084602</c:v>
                </c:pt>
                <c:pt idx="188">
                  <c:v>59.090909090909101</c:v>
                </c:pt>
                <c:pt idx="189">
                  <c:v>59.4043887147335</c:v>
                </c:pt>
                <c:pt idx="190">
                  <c:v>59.717868338557999</c:v>
                </c:pt>
                <c:pt idx="191">
                  <c:v>60.031347962382497</c:v>
                </c:pt>
                <c:pt idx="192">
                  <c:v>60.344827586206897</c:v>
                </c:pt>
                <c:pt idx="193">
                  <c:v>60.658307210031403</c:v>
                </c:pt>
                <c:pt idx="194">
                  <c:v>60.971786833855802</c:v>
                </c:pt>
                <c:pt idx="195">
                  <c:v>61.285266457680301</c:v>
                </c:pt>
                <c:pt idx="196">
                  <c:v>61.5987460815047</c:v>
                </c:pt>
                <c:pt idx="197">
                  <c:v>61.912225705329199</c:v>
                </c:pt>
                <c:pt idx="198">
                  <c:v>62.225705329153598</c:v>
                </c:pt>
                <c:pt idx="199">
                  <c:v>62.539184952978097</c:v>
                </c:pt>
                <c:pt idx="200">
                  <c:v>62.852664576802503</c:v>
                </c:pt>
                <c:pt idx="201">
                  <c:v>63.166144200627002</c:v>
                </c:pt>
                <c:pt idx="202">
                  <c:v>63.479623824451402</c:v>
                </c:pt>
                <c:pt idx="203">
                  <c:v>63.7931034482759</c:v>
                </c:pt>
                <c:pt idx="204">
                  <c:v>64.106583072100307</c:v>
                </c:pt>
                <c:pt idx="205">
                  <c:v>64.420062695924798</c:v>
                </c:pt>
                <c:pt idx="206">
                  <c:v>64.733542319749205</c:v>
                </c:pt>
                <c:pt idx="207">
                  <c:v>65.047021943573696</c:v>
                </c:pt>
                <c:pt idx="208">
                  <c:v>65.360501567398103</c:v>
                </c:pt>
                <c:pt idx="209">
                  <c:v>65.673981191222595</c:v>
                </c:pt>
                <c:pt idx="210">
                  <c:v>65.987460815047001</c:v>
                </c:pt>
                <c:pt idx="211">
                  <c:v>66.300940438871507</c:v>
                </c:pt>
                <c:pt idx="212">
                  <c:v>66.614420062695899</c:v>
                </c:pt>
                <c:pt idx="213">
                  <c:v>66.927899686520405</c:v>
                </c:pt>
                <c:pt idx="214">
                  <c:v>67.241379310344797</c:v>
                </c:pt>
                <c:pt idx="215">
                  <c:v>67.554858934169303</c:v>
                </c:pt>
                <c:pt idx="216">
                  <c:v>67.868338557993695</c:v>
                </c:pt>
                <c:pt idx="217">
                  <c:v>68.181818181818201</c:v>
                </c:pt>
                <c:pt idx="218">
                  <c:v>68.495297805642707</c:v>
                </c:pt>
                <c:pt idx="219">
                  <c:v>68.808777429467099</c:v>
                </c:pt>
                <c:pt idx="220">
                  <c:v>69.122257053291605</c:v>
                </c:pt>
                <c:pt idx="221">
                  <c:v>69.435736677115997</c:v>
                </c:pt>
                <c:pt idx="222">
                  <c:v>69.749216300940503</c:v>
                </c:pt>
                <c:pt idx="223">
                  <c:v>70.062695924764895</c:v>
                </c:pt>
                <c:pt idx="224">
                  <c:v>70.376175548589401</c:v>
                </c:pt>
                <c:pt idx="225">
                  <c:v>70.689655172413794</c:v>
                </c:pt>
                <c:pt idx="226">
                  <c:v>71.003134796238299</c:v>
                </c:pt>
                <c:pt idx="227">
                  <c:v>71.316614420062706</c:v>
                </c:pt>
                <c:pt idx="228">
                  <c:v>71.630094043887198</c:v>
                </c:pt>
                <c:pt idx="229">
                  <c:v>71.943573667711604</c:v>
                </c:pt>
                <c:pt idx="230">
                  <c:v>72.257053291536096</c:v>
                </c:pt>
                <c:pt idx="231">
                  <c:v>72.570532915360502</c:v>
                </c:pt>
                <c:pt idx="232">
                  <c:v>72.884012539184994</c:v>
                </c:pt>
                <c:pt idx="233">
                  <c:v>73.1974921630094</c:v>
                </c:pt>
                <c:pt idx="234">
                  <c:v>73.510971786833906</c:v>
                </c:pt>
                <c:pt idx="235">
                  <c:v>73.824451410658298</c:v>
                </c:pt>
                <c:pt idx="236">
                  <c:v>74.137931034482804</c:v>
                </c:pt>
                <c:pt idx="237">
                  <c:v>74.451410658307196</c:v>
                </c:pt>
                <c:pt idx="238">
                  <c:v>74.764890282131702</c:v>
                </c:pt>
                <c:pt idx="239">
                  <c:v>75.078369905956094</c:v>
                </c:pt>
                <c:pt idx="240">
                  <c:v>75.3918495297806</c:v>
                </c:pt>
                <c:pt idx="241">
                  <c:v>75.705329153605007</c:v>
                </c:pt>
                <c:pt idx="242">
                  <c:v>76.018808777429498</c:v>
                </c:pt>
                <c:pt idx="243">
                  <c:v>76.332288401253905</c:v>
                </c:pt>
                <c:pt idx="244">
                  <c:v>76.645768025078397</c:v>
                </c:pt>
                <c:pt idx="245">
                  <c:v>76.959247648902803</c:v>
                </c:pt>
                <c:pt idx="246">
                  <c:v>77.272727272727295</c:v>
                </c:pt>
                <c:pt idx="247">
                  <c:v>77.586206896551701</c:v>
                </c:pt>
                <c:pt idx="248">
                  <c:v>77.899686520376207</c:v>
                </c:pt>
                <c:pt idx="249">
                  <c:v>78.213166144200599</c:v>
                </c:pt>
                <c:pt idx="250">
                  <c:v>78.526645768025105</c:v>
                </c:pt>
                <c:pt idx="251">
                  <c:v>78.840125391849497</c:v>
                </c:pt>
                <c:pt idx="252">
                  <c:v>79.153605015674003</c:v>
                </c:pt>
                <c:pt idx="253">
                  <c:v>79.467084639498395</c:v>
                </c:pt>
                <c:pt idx="254">
                  <c:v>79.780564263322901</c:v>
                </c:pt>
                <c:pt idx="255">
                  <c:v>80.094043887147393</c:v>
                </c:pt>
                <c:pt idx="256">
                  <c:v>80.407523510971799</c:v>
                </c:pt>
                <c:pt idx="257">
                  <c:v>80.721003134796305</c:v>
                </c:pt>
                <c:pt idx="258">
                  <c:v>81.034482758620697</c:v>
                </c:pt>
                <c:pt idx="259">
                  <c:v>81.347962382445203</c:v>
                </c:pt>
                <c:pt idx="260">
                  <c:v>81.661442006269596</c:v>
                </c:pt>
                <c:pt idx="261">
                  <c:v>81.974921630094101</c:v>
                </c:pt>
                <c:pt idx="262">
                  <c:v>82.288401253918494</c:v>
                </c:pt>
                <c:pt idx="263">
                  <c:v>82.601880877743</c:v>
                </c:pt>
                <c:pt idx="264">
                  <c:v>82.915360501567406</c:v>
                </c:pt>
                <c:pt idx="265">
                  <c:v>83.228840125391898</c:v>
                </c:pt>
                <c:pt idx="266">
                  <c:v>83.542319749216304</c:v>
                </c:pt>
                <c:pt idx="267">
                  <c:v>83.855799373040796</c:v>
                </c:pt>
                <c:pt idx="268">
                  <c:v>84.169278996865202</c:v>
                </c:pt>
                <c:pt idx="269">
                  <c:v>84.482758620689694</c:v>
                </c:pt>
                <c:pt idx="270">
                  <c:v>84.7962382445141</c:v>
                </c:pt>
                <c:pt idx="271">
                  <c:v>85.109717868338606</c:v>
                </c:pt>
                <c:pt idx="272">
                  <c:v>85.423197492162998</c:v>
                </c:pt>
                <c:pt idx="273">
                  <c:v>85.736677115987504</c:v>
                </c:pt>
                <c:pt idx="274">
                  <c:v>86.050156739811897</c:v>
                </c:pt>
                <c:pt idx="275">
                  <c:v>86.363636363636402</c:v>
                </c:pt>
                <c:pt idx="276">
                  <c:v>86.677115987460795</c:v>
                </c:pt>
                <c:pt idx="277">
                  <c:v>86.9905956112853</c:v>
                </c:pt>
                <c:pt idx="278">
                  <c:v>87.304075235109707</c:v>
                </c:pt>
                <c:pt idx="279">
                  <c:v>87.617554858934199</c:v>
                </c:pt>
                <c:pt idx="280">
                  <c:v>87.931034482758605</c:v>
                </c:pt>
                <c:pt idx="281">
                  <c:v>88.244514106583097</c:v>
                </c:pt>
                <c:pt idx="282">
                  <c:v>88.557993730407503</c:v>
                </c:pt>
                <c:pt idx="283">
                  <c:v>88.871473354231995</c:v>
                </c:pt>
                <c:pt idx="284">
                  <c:v>89.184952978056401</c:v>
                </c:pt>
                <c:pt idx="285">
                  <c:v>89.498432601880907</c:v>
                </c:pt>
                <c:pt idx="286">
                  <c:v>89.811912225705299</c:v>
                </c:pt>
                <c:pt idx="287">
                  <c:v>90.125391849529805</c:v>
                </c:pt>
                <c:pt idx="288">
                  <c:v>90.438871473354197</c:v>
                </c:pt>
                <c:pt idx="289">
                  <c:v>90.752351097178703</c:v>
                </c:pt>
                <c:pt idx="290">
                  <c:v>91.065830721003195</c:v>
                </c:pt>
                <c:pt idx="291">
                  <c:v>91.379310344827601</c:v>
                </c:pt>
                <c:pt idx="292">
                  <c:v>91.692789968652093</c:v>
                </c:pt>
                <c:pt idx="293">
                  <c:v>92.006269592476499</c:v>
                </c:pt>
                <c:pt idx="294">
                  <c:v>92.319749216301005</c:v>
                </c:pt>
                <c:pt idx="295">
                  <c:v>92.633228840125398</c:v>
                </c:pt>
                <c:pt idx="296">
                  <c:v>92.946708463949903</c:v>
                </c:pt>
                <c:pt idx="297">
                  <c:v>93.260188087774296</c:v>
                </c:pt>
                <c:pt idx="298">
                  <c:v>93.573667711598802</c:v>
                </c:pt>
                <c:pt idx="299">
                  <c:v>93.887147335423194</c:v>
                </c:pt>
                <c:pt idx="300">
                  <c:v>94.2006269592477</c:v>
                </c:pt>
                <c:pt idx="301">
                  <c:v>94.514106583072106</c:v>
                </c:pt>
                <c:pt idx="302">
                  <c:v>94.827586206896598</c:v>
                </c:pt>
                <c:pt idx="303">
                  <c:v>95.141065830721004</c:v>
                </c:pt>
                <c:pt idx="304">
                  <c:v>95.454545454545496</c:v>
                </c:pt>
                <c:pt idx="305">
                  <c:v>95.768025078369902</c:v>
                </c:pt>
                <c:pt idx="306">
                  <c:v>96.081504702194394</c:v>
                </c:pt>
                <c:pt idx="307">
                  <c:v>96.3949843260188</c:v>
                </c:pt>
                <c:pt idx="308">
                  <c:v>96.708463949843306</c:v>
                </c:pt>
                <c:pt idx="309">
                  <c:v>97.021943573667699</c:v>
                </c:pt>
                <c:pt idx="310">
                  <c:v>97.335423197492204</c:v>
                </c:pt>
                <c:pt idx="311">
                  <c:v>97.648902821316597</c:v>
                </c:pt>
                <c:pt idx="312">
                  <c:v>97.962382445141102</c:v>
                </c:pt>
                <c:pt idx="313">
                  <c:v>98.275862068965495</c:v>
                </c:pt>
                <c:pt idx="314">
                  <c:v>98.589341692790001</c:v>
                </c:pt>
                <c:pt idx="315">
                  <c:v>98.902821316614407</c:v>
                </c:pt>
                <c:pt idx="316">
                  <c:v>99.216300940438899</c:v>
                </c:pt>
                <c:pt idx="317">
                  <c:v>99.529780564263305</c:v>
                </c:pt>
                <c:pt idx="318">
                  <c:v>99.843260188087797</c:v>
                </c:pt>
              </c:numCache>
            </c:numRef>
          </c:xVal>
          <c:yVal>
            <c:numRef>
              <c:f>'Summary output'!$G$25:$G$343</c:f>
              <c:numCache>
                <c:formatCode>General</c:formatCode>
                <c:ptCount val="3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E-4D77-807F-B0F2CEC4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4611"/>
        <c:axId val="5025939"/>
      </c:scatterChart>
      <c:valAx>
        <c:axId val="50024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025939"/>
        <c:crosses val="autoZero"/>
        <c:crossBetween val="midCat"/>
      </c:valAx>
      <c:valAx>
        <c:axId val="50259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00246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Pivot_Reports!$J$34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Pivot_Reports!$J$35:$J$43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1161910</c:v>
                </c:pt>
                <c:pt idx="2">
                  <c:v>746450</c:v>
                </c:pt>
                <c:pt idx="3">
                  <c:v>1443910</c:v>
                </c:pt>
                <c:pt idx="4">
                  <c:v>1105455</c:v>
                </c:pt>
                <c:pt idx="5">
                  <c:v>1358035</c:v>
                </c:pt>
                <c:pt idx="6">
                  <c:v>648415</c:v>
                </c:pt>
                <c:pt idx="7">
                  <c:v>551395</c:v>
                </c:pt>
                <c:pt idx="8">
                  <c:v>734300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5-4E07-A9A7-B3CC1A5AAAB4}"/>
            </c:ext>
          </c:extLst>
        </c:ser>
        <c:ser>
          <c:idx val="1"/>
          <c:order val="1"/>
          <c:tx>
            <c:strRef>
              <c:f>Pivot_Reports!$K$34</c:f>
              <c:strCache>
                <c:ptCount val="1"/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Pivot_Reports!$K$35:$K$43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1845010</c:v>
                </c:pt>
                <c:pt idx="2">
                  <c:v>1539250</c:v>
                </c:pt>
                <c:pt idx="3">
                  <c:v>2724910</c:v>
                </c:pt>
                <c:pt idx="4">
                  <c:v>2071455</c:v>
                </c:pt>
                <c:pt idx="5">
                  <c:v>2256035</c:v>
                </c:pt>
                <c:pt idx="6">
                  <c:v>1058315</c:v>
                </c:pt>
                <c:pt idx="7">
                  <c:v>1060195</c:v>
                </c:pt>
                <c:pt idx="8">
                  <c:v>1183900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5-4E07-A9A7-B3CC1A5A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07747"/>
        <c:axId val="84139222"/>
      </c:barChart>
      <c:catAx>
        <c:axId val="84607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84139222"/>
        <c:crosses val="autoZero"/>
        <c:auto val="1"/>
        <c:lblAlgn val="ctr"/>
        <c:lblOffset val="100"/>
        <c:noMultiLvlLbl val="0"/>
      </c:catAx>
      <c:valAx>
        <c:axId val="841392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84607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Payment method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Pivot_Reports!$G$32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9FF-4E66-BF2A-BE5C80791AB0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9FF-4E66-BF2A-BE5C80791AB0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9FF-4E66-BF2A-BE5C80791AB0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9FF-4E66-BF2A-BE5C80791AB0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9FF-4E66-BF2A-BE5C80791AB0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9FF-4E66-BF2A-BE5C80791A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FF-4E66-BF2A-BE5C80791A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FF-4E66-BF2A-BE5C80791AB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FF-4E66-BF2A-BE5C80791AB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FF-4E66-BF2A-BE5C80791AB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FF-4E66-BF2A-BE5C80791AB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FF-4E66-BF2A-BE5C80791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Pivot_Reports!$F$33:$F$38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Grand Total</c:v>
                </c:pt>
              </c:strCache>
            </c:strRef>
          </c:cat>
          <c:val>
            <c:numRef>
              <c:f>Pivot_Reports!$G$33:$G$38</c:f>
              <c:numCache>
                <c:formatCode>General</c:formatCode>
                <c:ptCount val="6"/>
                <c:pt idx="0">
                  <c:v>2552815</c:v>
                </c:pt>
                <c:pt idx="1">
                  <c:v>2332890</c:v>
                </c:pt>
                <c:pt idx="2">
                  <c:v>3169205</c:v>
                </c:pt>
                <c:pt idx="3">
                  <c:v>3698300</c:v>
                </c:pt>
                <c:pt idx="4">
                  <c:v>1985860</c:v>
                </c:pt>
                <c:pt idx="5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FF-4E66-BF2A-BE5C8079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Region Wise Sales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57482738540902"/>
          <c:y val="0.25394235997824899"/>
          <c:w val="0.56734048748024302"/>
          <c:h val="0.45649809679173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Pivot_Reports!$B$8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Pivot_Reports!$B$9:$B$12</c:f>
              <c:numCache>
                <c:formatCode>General</c:formatCode>
                <c:ptCount val="4"/>
                <c:pt idx="0">
                  <c:v>4622700</c:v>
                </c:pt>
                <c:pt idx="1">
                  <c:v>4499650</c:v>
                </c:pt>
                <c:pt idx="2">
                  <c:v>4616720</c:v>
                </c:pt>
                <c:pt idx="3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7-4DA9-A5BB-1D1015EFD32C}"/>
            </c:ext>
          </c:extLst>
        </c:ser>
        <c:ser>
          <c:idx val="1"/>
          <c:order val="1"/>
          <c:tx>
            <c:strRef>
              <c:f>Pivot_Reports!$C$8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Pivot_Reports!$C$9:$C$12</c:f>
              <c:numCache>
                <c:formatCode>General</c:formatCode>
                <c:ptCount val="4"/>
                <c:pt idx="0">
                  <c:v>2614500</c:v>
                </c:pt>
                <c:pt idx="1">
                  <c:v>2421750</c:v>
                </c:pt>
                <c:pt idx="2">
                  <c:v>2713620</c:v>
                </c:pt>
                <c:pt idx="3">
                  <c:v>7749870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7-4DA9-A5BB-1D1015EFD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4589"/>
        <c:axId val="54207019"/>
      </c:barChart>
      <c:catAx>
        <c:axId val="3164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54207019"/>
        <c:crosses val="autoZero"/>
        <c:auto val="1"/>
        <c:lblAlgn val="ctr"/>
        <c:lblOffset val="100"/>
        <c:noMultiLvlLbl val="0"/>
      </c:catAx>
      <c:valAx>
        <c:axId val="542070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3164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0511838886381195"/>
          <c:y val="4.6523176994723102E-2"/>
          <c:w val="0.26940390412981802"/>
          <c:h val="0.23155770749361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Sales by Category</a:t>
            </a:r>
          </a:p>
        </c:rich>
      </c:tx>
      <c:layout>
        <c:manualLayout>
          <c:xMode val="edge"/>
          <c:yMode val="edge"/>
          <c:x val="0.301398805187236"/>
          <c:y val="2.63583240084546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Pivot_Reports!$F$9:$F$13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Accessories</c:v>
                </c:pt>
                <c:pt idx="3">
                  <c:v>Audio</c:v>
                </c:pt>
                <c:pt idx="4">
                  <c:v>Monitor</c:v>
                </c:pt>
              </c:strCache>
            </c:strRef>
          </c:cat>
          <c:val>
            <c:numRef>
              <c:f>Pivot_Reports!$G$9:$G$13</c:f>
              <c:numCache>
                <c:formatCode>\₹#,##0.00</c:formatCode>
                <c:ptCount val="5"/>
                <c:pt idx="0">
                  <c:v>7203550</c:v>
                </c:pt>
                <c:pt idx="1">
                  <c:v>3269350</c:v>
                </c:pt>
                <c:pt idx="2">
                  <c:v>189390</c:v>
                </c:pt>
                <c:pt idx="3">
                  <c:v>611905</c:v>
                </c:pt>
                <c:pt idx="4">
                  <c:v>2464875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B-4DAE-8181-483D147E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418902"/>
        <c:axId val="27900369"/>
      </c:barChart>
      <c:catAx>
        <c:axId val="754189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7900369"/>
        <c:crosses val="autoZero"/>
        <c:auto val="1"/>
        <c:lblAlgn val="ctr"/>
        <c:lblOffset val="100"/>
        <c:noMultiLvlLbl val="0"/>
      </c:catAx>
      <c:valAx>
        <c:axId val="2790036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5418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Pivot_Reports!$K$8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Pivot_Reports!$J$9:$J$20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Pivot_Reports!$K$9:$K$20</c:f>
              <c:numCache>
                <c:formatCode>\₹#,##0.00</c:formatCode>
                <c:ptCount val="12"/>
                <c:pt idx="0">
                  <c:v>1198425</c:v>
                </c:pt>
                <c:pt idx="1">
                  <c:v>1082585</c:v>
                </c:pt>
                <c:pt idx="2">
                  <c:v>1174210</c:v>
                </c:pt>
                <c:pt idx="3">
                  <c:v>1281480</c:v>
                </c:pt>
                <c:pt idx="4">
                  <c:v>1545880</c:v>
                </c:pt>
                <c:pt idx="5">
                  <c:v>1307730</c:v>
                </c:pt>
                <c:pt idx="6">
                  <c:v>900495</c:v>
                </c:pt>
                <c:pt idx="7">
                  <c:v>1055330</c:v>
                </c:pt>
                <c:pt idx="8">
                  <c:v>1015040</c:v>
                </c:pt>
                <c:pt idx="9">
                  <c:v>814770</c:v>
                </c:pt>
                <c:pt idx="10">
                  <c:v>1338145</c:v>
                </c:pt>
                <c:pt idx="11">
                  <c:v>1024980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4-4F22-945A-DEAD7E74E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068700"/>
        <c:axId val="95688248"/>
      </c:lineChart>
      <c:catAx>
        <c:axId val="810687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95688248"/>
        <c:crosses val="autoZero"/>
        <c:auto val="1"/>
        <c:lblAlgn val="ctr"/>
        <c:lblOffset val="100"/>
        <c:noMultiLvlLbl val="0"/>
      </c:catAx>
      <c:valAx>
        <c:axId val="956882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81068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Payment method analysis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Pivot_Reports!$G$32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4FE-44A6-8E88-A56A30470304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4FE-44A6-8E88-A56A30470304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4FE-44A6-8E88-A56A30470304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4FE-44A6-8E88-A56A30470304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A4FE-44A6-8E88-A56A30470304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4FE-44A6-8E88-A56A3047030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FE-44A6-8E88-A56A3047030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FE-44A6-8E88-A56A3047030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FE-44A6-8E88-A56A3047030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FE-44A6-8E88-A56A3047030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FE-44A6-8E88-A56A3047030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FE-44A6-8E88-A56A304703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Pivot_Reports!$F$33:$F$38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Grand Total</c:v>
                </c:pt>
              </c:strCache>
            </c:strRef>
          </c:cat>
          <c:val>
            <c:numRef>
              <c:f>Pivot_Reports!$G$33:$G$38</c:f>
              <c:numCache>
                <c:formatCode>General</c:formatCode>
                <c:ptCount val="6"/>
                <c:pt idx="0">
                  <c:v>2552815</c:v>
                </c:pt>
                <c:pt idx="1">
                  <c:v>2332890</c:v>
                </c:pt>
                <c:pt idx="2">
                  <c:v>3169205</c:v>
                </c:pt>
                <c:pt idx="3">
                  <c:v>3698300</c:v>
                </c:pt>
                <c:pt idx="4">
                  <c:v>1985860</c:v>
                </c:pt>
                <c:pt idx="5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FE-44A6-8E88-A56A30470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State-wise Orders and Sales</a:t>
            </a:r>
          </a:p>
        </c:rich>
      </c:tx>
      <c:layout>
        <c:manualLayout>
          <c:xMode val="edge"/>
          <c:yMode val="edge"/>
          <c:x val="0.155701155701156"/>
          <c:y val="4.824070620415270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Pivot_Reports!$B$33:$B$38</c:f>
              <c:numCache>
                <c:formatCode>General</c:formatCode>
                <c:ptCount val="6"/>
                <c:pt idx="0">
                  <c:v>45</c:v>
                </c:pt>
                <c:pt idx="1">
                  <c:v>56</c:v>
                </c:pt>
                <c:pt idx="2">
                  <c:v>57</c:v>
                </c:pt>
                <c:pt idx="3">
                  <c:v>48</c:v>
                </c:pt>
                <c:pt idx="4">
                  <c:v>55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A-46A6-A127-43D2A568D2A3}"/>
            </c:ext>
          </c:extLst>
        </c:ser>
        <c:ser>
          <c:idx val="1"/>
          <c:order val="1"/>
          <c:tx>
            <c:v>Sales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Pivot_Reports!$C$33:$C$38</c:f>
              <c:numCache>
                <c:formatCode>\₹#,##0.00</c:formatCode>
                <c:ptCount val="6"/>
                <c:pt idx="0">
                  <c:v>1718335</c:v>
                </c:pt>
                <c:pt idx="1">
                  <c:v>2898385</c:v>
                </c:pt>
                <c:pt idx="2">
                  <c:v>2519510</c:v>
                </c:pt>
                <c:pt idx="3">
                  <c:v>1871540</c:v>
                </c:pt>
                <c:pt idx="4">
                  <c:v>2103190</c:v>
                </c:pt>
                <c:pt idx="5">
                  <c:v>2628110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A-46A6-A127-43D2A568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28996"/>
        <c:axId val="26767638"/>
      </c:barChart>
      <c:catAx>
        <c:axId val="5612899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6767638"/>
        <c:crosses val="autoZero"/>
        <c:auto val="1"/>
        <c:lblAlgn val="ctr"/>
        <c:lblOffset val="100"/>
        <c:noMultiLvlLbl val="0"/>
      </c:catAx>
      <c:valAx>
        <c:axId val="2676763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1289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Category-wise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Accessories</c:v>
                </c:pt>
                <c:pt idx="3">
                  <c:v>Audio</c:v>
                </c:pt>
                <c:pt idx="4">
                  <c:v>Monitor</c:v>
                </c:pt>
              </c:strCache>
            </c:strRef>
          </c:cat>
          <c:val>
            <c:numRef>
              <c:f>Dashboard!$B$14:$B$18</c:f>
              <c:numCache>
                <c:formatCode>\₹#,##0.00</c:formatCode>
                <c:ptCount val="5"/>
                <c:pt idx="0">
                  <c:v>7203550</c:v>
                </c:pt>
                <c:pt idx="1">
                  <c:v>3269350</c:v>
                </c:pt>
                <c:pt idx="2">
                  <c:v>189390</c:v>
                </c:pt>
                <c:pt idx="3">
                  <c:v>611905</c:v>
                </c:pt>
                <c:pt idx="4">
                  <c:v>2464875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4B85-8FFC-15A43B9A9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49110"/>
        <c:axId val="17278573"/>
      </c:barChart>
      <c:catAx>
        <c:axId val="6004911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278573"/>
        <c:crosses val="autoZero"/>
        <c:auto val="1"/>
        <c:lblAlgn val="ctr"/>
        <c:lblOffset val="100"/>
        <c:noMultiLvlLbl val="0"/>
      </c:catAx>
      <c:valAx>
        <c:axId val="172785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0049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Dashboard!$G$14:$G$25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Dashboard!$H$14:$H$25</c:f>
              <c:numCache>
                <c:formatCode>\₹#,##0.00</c:formatCode>
                <c:ptCount val="12"/>
                <c:pt idx="0">
                  <c:v>1198425</c:v>
                </c:pt>
                <c:pt idx="1">
                  <c:v>1082585</c:v>
                </c:pt>
                <c:pt idx="2">
                  <c:v>1174210</c:v>
                </c:pt>
                <c:pt idx="3">
                  <c:v>1281480</c:v>
                </c:pt>
                <c:pt idx="4">
                  <c:v>1545880</c:v>
                </c:pt>
                <c:pt idx="5">
                  <c:v>1307730</c:v>
                </c:pt>
                <c:pt idx="6">
                  <c:v>900495</c:v>
                </c:pt>
                <c:pt idx="7">
                  <c:v>1055330</c:v>
                </c:pt>
                <c:pt idx="8">
                  <c:v>1015040</c:v>
                </c:pt>
                <c:pt idx="9">
                  <c:v>814770</c:v>
                </c:pt>
                <c:pt idx="10">
                  <c:v>1338145</c:v>
                </c:pt>
                <c:pt idx="11">
                  <c:v>1024980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D-4342-9D22-326BAF37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352252"/>
        <c:axId val="95657252"/>
      </c:lineChart>
      <c:catAx>
        <c:axId val="2135225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5657252"/>
        <c:crosses val="autoZero"/>
        <c:auto val="1"/>
        <c:lblAlgn val="ctr"/>
        <c:lblOffset val="100"/>
        <c:noMultiLvlLbl val="0"/>
      </c:catAx>
      <c:valAx>
        <c:axId val="9565725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352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Region Wise Sales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62710721510499"/>
          <c:y val="0.25394235997824899"/>
          <c:w val="0.56726230613620998"/>
          <c:h val="0.45649809679173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Pivot_Reports!$B$8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Pivot_Reports!$B$9:$B$12</c:f>
              <c:numCache>
                <c:formatCode>General</c:formatCode>
                <c:ptCount val="4"/>
                <c:pt idx="0">
                  <c:v>4622700</c:v>
                </c:pt>
                <c:pt idx="1">
                  <c:v>4499650</c:v>
                </c:pt>
                <c:pt idx="2">
                  <c:v>4616720</c:v>
                </c:pt>
                <c:pt idx="3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A-4DDC-B4BF-A885EC16F148}"/>
            </c:ext>
          </c:extLst>
        </c:ser>
        <c:ser>
          <c:idx val="1"/>
          <c:order val="1"/>
          <c:tx>
            <c:strRef>
              <c:f>Pivot_Reports!$C$8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Pivot_Reports!$C$9:$C$12</c:f>
              <c:numCache>
                <c:formatCode>General</c:formatCode>
                <c:ptCount val="4"/>
                <c:pt idx="0">
                  <c:v>2614500</c:v>
                </c:pt>
                <c:pt idx="1">
                  <c:v>2421750</c:v>
                </c:pt>
                <c:pt idx="2">
                  <c:v>2713620</c:v>
                </c:pt>
                <c:pt idx="3">
                  <c:v>7749870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A-4DDC-B4BF-A885EC16F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76716"/>
        <c:axId val="24759299"/>
      </c:barChart>
      <c:catAx>
        <c:axId val="26176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4759299"/>
        <c:crosses val="autoZero"/>
        <c:auto val="1"/>
        <c:lblAlgn val="ctr"/>
        <c:lblOffset val="100"/>
        <c:noMultiLvlLbl val="0"/>
      </c:catAx>
      <c:valAx>
        <c:axId val="247592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6176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0511838886381195"/>
          <c:y val="4.6523176994723102E-2"/>
          <c:w val="0.26940390412981802"/>
          <c:h val="0.23155770749361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Payment method analysis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65482031560801"/>
          <c:y val="0.20616797900262501"/>
          <c:w val="0.34809706935419699"/>
          <c:h val="0.69855643044619398"/>
        </c:manualLayout>
      </c:layout>
      <c:pieChart>
        <c:varyColors val="1"/>
        <c:ser>
          <c:idx val="0"/>
          <c:order val="0"/>
          <c:tx>
            <c:strRef>
              <c:f>Pivot_Reports!$G$32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FA1-47F8-A129-03155ABFE1DB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FA1-47F8-A129-03155ABFE1DB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FA1-47F8-A129-03155ABFE1DB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FA1-47F8-A129-03155ABFE1DB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FA1-47F8-A129-03155ABFE1DB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FA1-47F8-A129-03155ABFE1D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1-47F8-A129-03155ABFE1D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A1-47F8-A129-03155ABFE1D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A1-47F8-A129-03155ABFE1D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A1-47F8-A129-03155ABFE1D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A1-47F8-A129-03155ABFE1D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A1-47F8-A129-03155ABFE1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Pivot_Reports!$F$33:$F$38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Grand Total</c:v>
                </c:pt>
              </c:strCache>
            </c:strRef>
          </c:cat>
          <c:val>
            <c:numRef>
              <c:f>Pivot_Reports!$G$33:$G$38</c:f>
              <c:numCache>
                <c:formatCode>General</c:formatCode>
                <c:ptCount val="6"/>
                <c:pt idx="0">
                  <c:v>2552815</c:v>
                </c:pt>
                <c:pt idx="1">
                  <c:v>2332890</c:v>
                </c:pt>
                <c:pt idx="2">
                  <c:v>3169205</c:v>
                </c:pt>
                <c:pt idx="3">
                  <c:v>3698300</c:v>
                </c:pt>
                <c:pt idx="4">
                  <c:v>1985860</c:v>
                </c:pt>
                <c:pt idx="5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A1-47F8-A129-03155ABF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State-wise Orders and Sales</a:t>
            </a:r>
          </a:p>
        </c:rich>
      </c:tx>
      <c:layout>
        <c:manualLayout>
          <c:xMode val="edge"/>
          <c:yMode val="edge"/>
          <c:x val="0.15567937701396301"/>
          <c:y val="4.824070620415270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Pivot_Reports!$B$33:$B$38</c:f>
              <c:numCache>
                <c:formatCode>General</c:formatCode>
                <c:ptCount val="6"/>
                <c:pt idx="0">
                  <c:v>45</c:v>
                </c:pt>
                <c:pt idx="1">
                  <c:v>56</c:v>
                </c:pt>
                <c:pt idx="2">
                  <c:v>57</c:v>
                </c:pt>
                <c:pt idx="3">
                  <c:v>48</c:v>
                </c:pt>
                <c:pt idx="4">
                  <c:v>55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4-4654-9392-30A036254408}"/>
            </c:ext>
          </c:extLst>
        </c:ser>
        <c:ser>
          <c:idx val="1"/>
          <c:order val="1"/>
          <c:tx>
            <c:v>Sales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Pivot_Reports!$C$33:$C$38</c:f>
              <c:numCache>
                <c:formatCode>\₹#,##0.00</c:formatCode>
                <c:ptCount val="6"/>
                <c:pt idx="0">
                  <c:v>1718335</c:v>
                </c:pt>
                <c:pt idx="1">
                  <c:v>2898385</c:v>
                </c:pt>
                <c:pt idx="2">
                  <c:v>2519510</c:v>
                </c:pt>
                <c:pt idx="3">
                  <c:v>1871540</c:v>
                </c:pt>
                <c:pt idx="4">
                  <c:v>2103190</c:v>
                </c:pt>
                <c:pt idx="5">
                  <c:v>2628110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4-4654-9392-30A03625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02198"/>
        <c:axId val="17371831"/>
      </c:barChart>
      <c:catAx>
        <c:axId val="7920219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371831"/>
        <c:crosses val="autoZero"/>
        <c:auto val="1"/>
        <c:lblAlgn val="ctr"/>
        <c:lblOffset val="100"/>
        <c:noMultiLvlLbl val="0"/>
      </c:catAx>
      <c:valAx>
        <c:axId val="173718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92021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28985507246399"/>
          <c:y val="0.26005000961723401"/>
          <c:w val="0.79485507246376796"/>
          <c:h val="0.59405654933641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Pivot_Reports!$J$34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Pivot_Reports!$J$35:$J$43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1161910</c:v>
                </c:pt>
                <c:pt idx="2">
                  <c:v>746450</c:v>
                </c:pt>
                <c:pt idx="3">
                  <c:v>1443910</c:v>
                </c:pt>
                <c:pt idx="4">
                  <c:v>1105455</c:v>
                </c:pt>
                <c:pt idx="5">
                  <c:v>1358035</c:v>
                </c:pt>
                <c:pt idx="6">
                  <c:v>648415</c:v>
                </c:pt>
                <c:pt idx="7">
                  <c:v>551395</c:v>
                </c:pt>
                <c:pt idx="8">
                  <c:v>734300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E-45B4-B6E7-0E2FE4F9146A}"/>
            </c:ext>
          </c:extLst>
        </c:ser>
        <c:ser>
          <c:idx val="1"/>
          <c:order val="1"/>
          <c:tx>
            <c:strRef>
              <c:f>Pivot_Reports!$K$34</c:f>
              <c:strCache>
                <c:ptCount val="1"/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Pivot_Reports!$K$35:$K$43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1845010</c:v>
                </c:pt>
                <c:pt idx="2">
                  <c:v>1539250</c:v>
                </c:pt>
                <c:pt idx="3">
                  <c:v>2724910</c:v>
                </c:pt>
                <c:pt idx="4">
                  <c:v>2071455</c:v>
                </c:pt>
                <c:pt idx="5">
                  <c:v>2256035</c:v>
                </c:pt>
                <c:pt idx="6">
                  <c:v>1058315</c:v>
                </c:pt>
                <c:pt idx="7">
                  <c:v>1060195</c:v>
                </c:pt>
                <c:pt idx="8">
                  <c:v>1183900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E-45B4-B6E7-0E2FE4F91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55269"/>
        <c:axId val="10638087"/>
      </c:barChart>
      <c:catAx>
        <c:axId val="533552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10638087"/>
        <c:crosses val="autoZero"/>
        <c:auto val="1"/>
        <c:lblAlgn val="ctr"/>
        <c:lblOffset val="100"/>
        <c:noMultiLvlLbl val="0"/>
      </c:catAx>
      <c:valAx>
        <c:axId val="106380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53355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850693940010305"/>
          <c:y val="4.1288693875097697E-2"/>
          <c:w val="0.23411298679915901"/>
          <c:h val="0.163799028938176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Pivot_Reports!$J$34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Pivot_Reports!$J$35:$J$43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1161910</c:v>
                </c:pt>
                <c:pt idx="2">
                  <c:v>746450</c:v>
                </c:pt>
                <c:pt idx="3">
                  <c:v>1443910</c:v>
                </c:pt>
                <c:pt idx="4">
                  <c:v>1105455</c:v>
                </c:pt>
                <c:pt idx="5">
                  <c:v>1358035</c:v>
                </c:pt>
                <c:pt idx="6">
                  <c:v>648415</c:v>
                </c:pt>
                <c:pt idx="7">
                  <c:v>551395</c:v>
                </c:pt>
                <c:pt idx="8">
                  <c:v>734300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D-4FDE-8540-61B637B99E9E}"/>
            </c:ext>
          </c:extLst>
        </c:ser>
        <c:ser>
          <c:idx val="1"/>
          <c:order val="1"/>
          <c:tx>
            <c:strRef>
              <c:f>Pivot_Reports!$K$34</c:f>
              <c:strCache>
                <c:ptCount val="1"/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Pivot_Reports!$I$35:$I$43</c:f>
              <c:strCache>
                <c:ptCount val="9"/>
                <c:pt idx="0">
                  <c:v>Salesperson</c:v>
                </c:pt>
                <c:pt idx="1">
                  <c:v>Aarav</c:v>
                </c:pt>
                <c:pt idx="2">
                  <c:v>Aditya</c:v>
                </c:pt>
                <c:pt idx="3">
                  <c:v>Diya</c:v>
                </c:pt>
                <c:pt idx="4">
                  <c:v>Isha</c:v>
                </c:pt>
                <c:pt idx="5">
                  <c:v>Kavya</c:v>
                </c:pt>
                <c:pt idx="6">
                  <c:v>Meera</c:v>
                </c:pt>
                <c:pt idx="7">
                  <c:v>Rohan</c:v>
                </c:pt>
                <c:pt idx="8">
                  <c:v>Vivaan</c:v>
                </c:pt>
              </c:strCache>
            </c:strRef>
          </c:cat>
          <c:val>
            <c:numRef>
              <c:f>Pivot_Reports!$K$35:$K$43</c:f>
              <c:numCache>
                <c:formatCode>\₹#,##0.00</c:formatCode>
                <c:ptCount val="9"/>
                <c:pt idx="0" formatCode="General">
                  <c:v>0</c:v>
                </c:pt>
                <c:pt idx="1">
                  <c:v>1845010</c:v>
                </c:pt>
                <c:pt idx="2">
                  <c:v>1539250</c:v>
                </c:pt>
                <c:pt idx="3">
                  <c:v>2724910</c:v>
                </c:pt>
                <c:pt idx="4">
                  <c:v>2071455</c:v>
                </c:pt>
                <c:pt idx="5">
                  <c:v>2256035</c:v>
                </c:pt>
                <c:pt idx="6">
                  <c:v>1058315</c:v>
                </c:pt>
                <c:pt idx="7">
                  <c:v>1060195</c:v>
                </c:pt>
                <c:pt idx="8">
                  <c:v>1183900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D-4FDE-8540-61B637B99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09238"/>
        <c:axId val="70745952"/>
      </c:barChart>
      <c:catAx>
        <c:axId val="238092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70745952"/>
        <c:crosses val="autoZero"/>
        <c:auto val="1"/>
        <c:lblAlgn val="ctr"/>
        <c:lblOffset val="100"/>
        <c:noMultiLvlLbl val="0"/>
      </c:catAx>
      <c:valAx>
        <c:axId val="707459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3809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Region Wise Sales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61889250814299"/>
          <c:y val="0.25394235997824899"/>
          <c:w val="0.56729641693811095"/>
          <c:h val="0.45649809679173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Pivot_Reports!$B$8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Pivot_Reports!$B$9:$B$12</c:f>
              <c:numCache>
                <c:formatCode>General</c:formatCode>
                <c:ptCount val="4"/>
                <c:pt idx="0">
                  <c:v>4622700</c:v>
                </c:pt>
                <c:pt idx="1">
                  <c:v>4499650</c:v>
                </c:pt>
                <c:pt idx="2">
                  <c:v>4616720</c:v>
                </c:pt>
                <c:pt idx="3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6-423D-802A-0D01E0769A50}"/>
            </c:ext>
          </c:extLst>
        </c:ser>
        <c:ser>
          <c:idx val="1"/>
          <c:order val="1"/>
          <c:tx>
            <c:strRef>
              <c:f>Pivot_Reports!$C$8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Grand Total</c:v>
                </c:pt>
              </c:strCache>
            </c:strRef>
          </c:cat>
          <c:val>
            <c:numRef>
              <c:f>Pivot_Reports!$C$9:$C$12</c:f>
              <c:numCache>
                <c:formatCode>General</c:formatCode>
                <c:ptCount val="4"/>
                <c:pt idx="0">
                  <c:v>2614500</c:v>
                </c:pt>
                <c:pt idx="1">
                  <c:v>2421750</c:v>
                </c:pt>
                <c:pt idx="2">
                  <c:v>2713620</c:v>
                </c:pt>
                <c:pt idx="3">
                  <c:v>7749870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6-423D-802A-0D01E0769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37318"/>
        <c:axId val="5465902"/>
      </c:barChart>
      <c:catAx>
        <c:axId val="335373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5465902"/>
        <c:crosses val="autoZero"/>
        <c:auto val="1"/>
        <c:lblAlgn val="ctr"/>
        <c:lblOffset val="100"/>
        <c:noMultiLvlLbl val="0"/>
      </c:catAx>
      <c:valAx>
        <c:axId val="54659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33537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0511838886381195"/>
          <c:y val="4.6523176994723102E-2"/>
          <c:w val="0.26940390412981802"/>
          <c:h val="0.23155770749361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Sales by Category</a:t>
            </a:r>
          </a:p>
        </c:rich>
      </c:tx>
      <c:layout>
        <c:manualLayout>
          <c:xMode val="edge"/>
          <c:yMode val="edge"/>
          <c:x val="0.30145083288554497"/>
          <c:y val="2.63583240084546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Pivot_Reports!$F$9:$F$13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Accessories</c:v>
                </c:pt>
                <c:pt idx="3">
                  <c:v>Audio</c:v>
                </c:pt>
                <c:pt idx="4">
                  <c:v>Monitor</c:v>
                </c:pt>
              </c:strCache>
            </c:strRef>
          </c:cat>
          <c:val>
            <c:numRef>
              <c:f>Pivot_Reports!$G$9:$G$13</c:f>
              <c:numCache>
                <c:formatCode>\₹#,##0.00</c:formatCode>
                <c:ptCount val="5"/>
                <c:pt idx="0">
                  <c:v>7203550</c:v>
                </c:pt>
                <c:pt idx="1">
                  <c:v>3269350</c:v>
                </c:pt>
                <c:pt idx="2">
                  <c:v>189390</c:v>
                </c:pt>
                <c:pt idx="3">
                  <c:v>611905</c:v>
                </c:pt>
                <c:pt idx="4">
                  <c:v>2464875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C-4617-8230-ED40AB340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30362"/>
        <c:axId val="83759398"/>
      </c:barChart>
      <c:catAx>
        <c:axId val="3553036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3759398"/>
        <c:crosses val="autoZero"/>
        <c:auto val="1"/>
        <c:lblAlgn val="ctr"/>
        <c:lblOffset val="100"/>
        <c:noMultiLvlLbl val="0"/>
      </c:catAx>
      <c:valAx>
        <c:axId val="8375939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530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Pivot_Reports!$K$8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Pivot_Reports!$J$9:$J$20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Pivot_Reports!$K$9:$K$20</c:f>
              <c:numCache>
                <c:formatCode>\₹#,##0.00</c:formatCode>
                <c:ptCount val="12"/>
                <c:pt idx="0">
                  <c:v>1198425</c:v>
                </c:pt>
                <c:pt idx="1">
                  <c:v>1082585</c:v>
                </c:pt>
                <c:pt idx="2">
                  <c:v>1174210</c:v>
                </c:pt>
                <c:pt idx="3">
                  <c:v>1281480</c:v>
                </c:pt>
                <c:pt idx="4">
                  <c:v>1545880</c:v>
                </c:pt>
                <c:pt idx="5">
                  <c:v>1307730</c:v>
                </c:pt>
                <c:pt idx="6">
                  <c:v>900495</c:v>
                </c:pt>
                <c:pt idx="7">
                  <c:v>1055330</c:v>
                </c:pt>
                <c:pt idx="8">
                  <c:v>1015040</c:v>
                </c:pt>
                <c:pt idx="9">
                  <c:v>814770</c:v>
                </c:pt>
                <c:pt idx="10">
                  <c:v>1338145</c:v>
                </c:pt>
                <c:pt idx="11">
                  <c:v>1024980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3-42CC-87F4-85777EFA4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305463"/>
        <c:axId val="46095368"/>
      </c:lineChart>
      <c:catAx>
        <c:axId val="833054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46095368"/>
        <c:crosses val="autoZero"/>
        <c:auto val="1"/>
        <c:lblAlgn val="ctr"/>
        <c:lblOffset val="100"/>
        <c:noMultiLvlLbl val="0"/>
      </c:catAx>
      <c:valAx>
        <c:axId val="460953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83305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Calibri"/>
              </a:rPr>
              <a:t>Payment method analysis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Pivot_Reports!$G$32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D82-409B-9878-F62681F8E1B8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D82-409B-9878-F62681F8E1B8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D82-409B-9878-F62681F8E1B8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D82-409B-9878-F62681F8E1B8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1D82-409B-9878-F62681F8E1B8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D82-409B-9878-F62681F8E1B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2-409B-9878-F62681F8E1B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82-409B-9878-F62681F8E1B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82-409B-9878-F62681F8E1B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82-409B-9878-F62681F8E1B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82-409B-9878-F62681F8E1B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82-409B-9878-F62681F8E1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Pivot_Reports!$F$33:$F$38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Grand Total</c:v>
                </c:pt>
              </c:strCache>
            </c:strRef>
          </c:cat>
          <c:val>
            <c:numRef>
              <c:f>Pivot_Reports!$G$33:$G$38</c:f>
              <c:numCache>
                <c:formatCode>General</c:formatCode>
                <c:ptCount val="6"/>
                <c:pt idx="0">
                  <c:v>2552815</c:v>
                </c:pt>
                <c:pt idx="1">
                  <c:v>2332890</c:v>
                </c:pt>
                <c:pt idx="2">
                  <c:v>3169205</c:v>
                </c:pt>
                <c:pt idx="3">
                  <c:v>3698300</c:v>
                </c:pt>
                <c:pt idx="4">
                  <c:v>1985860</c:v>
                </c:pt>
                <c:pt idx="5">
                  <c:v>13739070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82-409B-9878-F62681F8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State-wise Orders and Sales</a:t>
            </a:r>
          </a:p>
        </c:rich>
      </c:tx>
      <c:layout>
        <c:manualLayout>
          <c:xMode val="edge"/>
          <c:yMode val="edge"/>
          <c:x val="0.155678167341808"/>
          <c:y val="4.82347090999502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Pivot_Reports!$B$33:$B$38</c:f>
              <c:numCache>
                <c:formatCode>General</c:formatCode>
                <c:ptCount val="6"/>
                <c:pt idx="0">
                  <c:v>45</c:v>
                </c:pt>
                <c:pt idx="1">
                  <c:v>56</c:v>
                </c:pt>
                <c:pt idx="2">
                  <c:v>57</c:v>
                </c:pt>
                <c:pt idx="3">
                  <c:v>48</c:v>
                </c:pt>
                <c:pt idx="4">
                  <c:v>55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6D-ADB4-C6D63AE5EC77}"/>
            </c:ext>
          </c:extLst>
        </c:ser>
        <c:ser>
          <c:idx val="1"/>
          <c:order val="1"/>
          <c:tx>
            <c:v>Sales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Pivot_Reports!$A$33:$A$38</c:f>
              <c:strCache>
                <c:ptCount val="6"/>
                <c:pt idx="0">
                  <c:v>Maharashtra</c:v>
                </c:pt>
                <c:pt idx="1">
                  <c:v>Gujarat</c:v>
                </c:pt>
                <c:pt idx="2">
                  <c:v>Delhi</c:v>
                </c:pt>
                <c:pt idx="3">
                  <c:v>Karnataka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Pivot_Reports!$C$33:$C$38</c:f>
              <c:numCache>
                <c:formatCode>\₹#,##0.00</c:formatCode>
                <c:ptCount val="6"/>
                <c:pt idx="0">
                  <c:v>1718335</c:v>
                </c:pt>
                <c:pt idx="1">
                  <c:v>2898385</c:v>
                </c:pt>
                <c:pt idx="2">
                  <c:v>2519510</c:v>
                </c:pt>
                <c:pt idx="3">
                  <c:v>1871540</c:v>
                </c:pt>
                <c:pt idx="4">
                  <c:v>2103190</c:v>
                </c:pt>
                <c:pt idx="5">
                  <c:v>2628110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6D-ADB4-C6D63AE5E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01528"/>
        <c:axId val="8810979"/>
      </c:barChart>
      <c:catAx>
        <c:axId val="6430152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810979"/>
        <c:crosses val="autoZero"/>
        <c:auto val="1"/>
        <c:lblAlgn val="ctr"/>
        <c:lblOffset val="100"/>
        <c:noMultiLvlLbl val="0"/>
      </c:catAx>
      <c:valAx>
        <c:axId val="881097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4301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266760</xdr:colOff>
      <xdr:row>0</xdr:row>
      <xdr:rowOff>171360</xdr:rowOff>
    </xdr:from>
    <xdr:to>
      <xdr:col>15</xdr:col>
      <xdr:colOff>266400</xdr:colOff>
      <xdr:row>10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538200</xdr:colOff>
      <xdr:row>29</xdr:row>
      <xdr:rowOff>19080</xdr:rowOff>
    </xdr:from>
    <xdr:to>
      <xdr:col>14</xdr:col>
      <xdr:colOff>961560</xdr:colOff>
      <xdr:row>45</xdr:row>
      <xdr:rowOff>37800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290520</xdr:colOff>
      <xdr:row>110</xdr:row>
      <xdr:rowOff>28440</xdr:rowOff>
    </xdr:from>
    <xdr:to>
      <xdr:col>27</xdr:col>
      <xdr:colOff>191160</xdr:colOff>
      <xdr:row>125</xdr:row>
      <xdr:rowOff>56520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76320</xdr:colOff>
      <xdr:row>14</xdr:row>
      <xdr:rowOff>38160</xdr:rowOff>
    </xdr:from>
    <xdr:to>
      <xdr:col>4</xdr:col>
      <xdr:colOff>752400</xdr:colOff>
      <xdr:row>28</xdr:row>
      <xdr:rowOff>152280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901440</xdr:colOff>
      <xdr:row>13</xdr:row>
      <xdr:rowOff>152280</xdr:rowOff>
    </xdr:from>
    <xdr:to>
      <xdr:col>8</xdr:col>
      <xdr:colOff>1269720</xdr:colOff>
      <xdr:row>29</xdr:row>
      <xdr:rowOff>151920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390600</xdr:colOff>
      <xdr:row>6</xdr:row>
      <xdr:rowOff>152280</xdr:rowOff>
    </xdr:from>
    <xdr:to>
      <xdr:col>14</xdr:col>
      <xdr:colOff>923760</xdr:colOff>
      <xdr:row>21</xdr:row>
      <xdr:rowOff>171000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905040</xdr:colOff>
      <xdr:row>39</xdr:row>
      <xdr:rowOff>66600</xdr:rowOff>
    </xdr:from>
    <xdr:to>
      <xdr:col>7</xdr:col>
      <xdr:colOff>495000</xdr:colOff>
      <xdr:row>54</xdr:row>
      <xdr:rowOff>94680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9360</xdr:colOff>
      <xdr:row>47</xdr:row>
      <xdr:rowOff>152280</xdr:rowOff>
    </xdr:from>
    <xdr:to>
      <xdr:col>4</xdr:col>
      <xdr:colOff>313920</xdr:colOff>
      <xdr:row>63</xdr:row>
      <xdr:rowOff>151920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222645</xdr:colOff>
      <xdr:row>43</xdr:row>
      <xdr:rowOff>180720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11</xdr:col>
      <xdr:colOff>222645</xdr:colOff>
      <xdr:row>61</xdr:row>
      <xdr:rowOff>180720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76320</xdr:colOff>
      <xdr:row>72</xdr:row>
      <xdr:rowOff>38160</xdr:rowOff>
    </xdr:from>
    <xdr:to>
      <xdr:col>3</xdr:col>
      <xdr:colOff>971475</xdr:colOff>
      <xdr:row>86</xdr:row>
      <xdr:rowOff>152280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380880</xdr:colOff>
      <xdr:row>28</xdr:row>
      <xdr:rowOff>0</xdr:rowOff>
    </xdr:from>
    <xdr:to>
      <xdr:col>12</xdr:col>
      <xdr:colOff>171000</xdr:colOff>
      <xdr:row>43</xdr:row>
      <xdr:rowOff>28080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1085760</xdr:colOff>
      <xdr:row>89</xdr:row>
      <xdr:rowOff>66600</xdr:rowOff>
    </xdr:from>
    <xdr:to>
      <xdr:col>8</xdr:col>
      <xdr:colOff>809280</xdr:colOff>
      <xdr:row>105</xdr:row>
      <xdr:rowOff>56880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65</xdr:row>
      <xdr:rowOff>0</xdr:rowOff>
    </xdr:from>
    <xdr:to>
      <xdr:col>14</xdr:col>
      <xdr:colOff>361440</xdr:colOff>
      <xdr:row>85</xdr:row>
      <xdr:rowOff>123480</xdr:rowOff>
    </xdr:to>
    <xdr:graphicFrame macro="">
      <xdr:nvGraphicFramePr>
        <xdr:cNvPr id="13" name="Chart 6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538200</xdr:colOff>
      <xdr:row>43</xdr:row>
      <xdr:rowOff>19080</xdr:rowOff>
    </xdr:from>
    <xdr:to>
      <xdr:col>15</xdr:col>
      <xdr:colOff>475920</xdr:colOff>
      <xdr:row>59</xdr:row>
      <xdr:rowOff>37800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76320</xdr:colOff>
      <xdr:row>26</xdr:row>
      <xdr:rowOff>38160</xdr:rowOff>
    </xdr:from>
    <xdr:to>
      <xdr:col>4</xdr:col>
      <xdr:colOff>752400</xdr:colOff>
      <xdr:row>40</xdr:row>
      <xdr:rowOff>152280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64440</xdr:colOff>
      <xdr:row>25</xdr:row>
      <xdr:rowOff>152280</xdr:rowOff>
    </xdr:from>
    <xdr:to>
      <xdr:col>9</xdr:col>
      <xdr:colOff>658080</xdr:colOff>
      <xdr:row>41</xdr:row>
      <xdr:rowOff>151920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390600</xdr:colOff>
      <xdr:row>20</xdr:row>
      <xdr:rowOff>152280</xdr:rowOff>
    </xdr:from>
    <xdr:to>
      <xdr:col>15</xdr:col>
      <xdr:colOff>371160</xdr:colOff>
      <xdr:row>35</xdr:row>
      <xdr:rowOff>171000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68040</xdr:colOff>
      <xdr:row>51</xdr:row>
      <xdr:rowOff>66600</xdr:rowOff>
    </xdr:from>
    <xdr:to>
      <xdr:col>7</xdr:col>
      <xdr:colOff>495000</xdr:colOff>
      <xdr:row>66</xdr:row>
      <xdr:rowOff>94680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9360</xdr:colOff>
      <xdr:row>59</xdr:row>
      <xdr:rowOff>152280</xdr:rowOff>
    </xdr:from>
    <xdr:to>
      <xdr:col>4</xdr:col>
      <xdr:colOff>313920</xdr:colOff>
      <xdr:row>75</xdr:row>
      <xdr:rowOff>151920</xdr:rowOff>
    </xdr:to>
    <xdr:graphicFrame macro="">
      <xdr:nvGraphicFramePr>
        <xdr:cNvPr id="19" name="Chart 6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320" xr:uid="{00000000-000A-0000-FFFF-FFFF01000000}">
  <cacheSource type="worksheet">
    <worksheetSource ref="A4:R324" sheet="Clean_Data"/>
  </cacheSource>
  <cacheFields count="18">
    <cacheField name="Order ID" numFmtId="0">
      <sharedItems count="320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  <s v="ORD-1151"/>
        <s v="ORD-1152"/>
        <s v="ORD-1153"/>
        <s v="ORD-1154"/>
        <s v="ORD-1155"/>
        <s v="ORD-1156"/>
        <s v="ORD-1157"/>
        <s v="ORD-1158"/>
        <s v="ORD-1159"/>
        <s v="ORD-1160"/>
        <s v="ORD-1161"/>
        <s v="ORD-1162"/>
        <s v="ORD-1163"/>
        <s v="ORD-1164"/>
        <s v="ORD-1165"/>
        <s v="ORD-1166"/>
        <s v="ORD-1167"/>
        <s v="ORD-1168"/>
        <s v="ORD-1169"/>
        <s v="ORD-1170"/>
        <s v="ORD-1171"/>
        <s v="ORD-1172"/>
        <s v="ORD-1173"/>
        <s v="ORD-1174"/>
        <s v="ORD-1175"/>
        <s v="ORD-1176"/>
        <s v="ORD-1177"/>
        <s v="ORD-1178"/>
        <s v="ORD-1179"/>
        <s v="ORD-1180"/>
        <s v="ORD-1181"/>
        <s v="ORD-1182"/>
        <s v="ORD-1183"/>
        <s v="ORD-1184"/>
        <s v="ORD-1185"/>
        <s v="ORD-1186"/>
        <s v="ORD-1187"/>
        <s v="ORD-1188"/>
        <s v="ORD-1189"/>
        <s v="ORD-1190"/>
        <s v="ORD-1191"/>
        <s v="ORD-1192"/>
        <s v="ORD-1193"/>
        <s v="ORD-1194"/>
        <s v="ORD-1195"/>
        <s v="ORD-1196"/>
        <s v="ORD-1197"/>
        <s v="ORD-1198"/>
        <s v="ORD-1199"/>
        <s v="ORD-1200"/>
        <s v="ORD-1201"/>
        <s v="ORD-1202"/>
        <s v="ORD-1203"/>
        <s v="ORD-1204"/>
        <s v="ORD-1205"/>
        <s v="ORD-1206"/>
        <s v="ORD-1207"/>
        <s v="ORD-1208"/>
        <s v="ORD-1209"/>
        <s v="ORD-1210"/>
        <s v="ORD-1211"/>
        <s v="ORD-1212"/>
        <s v="ORD-1213"/>
        <s v="ORD-1214"/>
        <s v="ORD-1215"/>
        <s v="ORD-1216"/>
        <s v="ORD-1217"/>
        <s v="ORD-1218"/>
        <s v="ORD-1219"/>
        <s v="ORD-1220"/>
        <s v="ORD-1221"/>
        <s v="ORD-1222"/>
        <s v="ORD-1223"/>
        <s v="ORD-1224"/>
        <s v="ORD-1225"/>
        <s v="ORD-1226"/>
        <s v="ORD-1227"/>
        <s v="ORD-1228"/>
        <s v="ORD-1229"/>
        <s v="ORD-1230"/>
        <s v="ORD-1231"/>
        <s v="ORD-1232"/>
        <s v="ORD-1233"/>
        <s v="ORD-1234"/>
        <s v="ORD-1235"/>
        <s v="ORD-1236"/>
        <s v="ORD-1237"/>
        <s v="ORD-1238"/>
        <s v="ORD-1239"/>
        <s v="ORD-1240"/>
        <s v="ORD-1241"/>
        <s v="ORD-1242"/>
        <s v="ORD-1243"/>
        <s v="ORD-1244"/>
        <s v="ORD-1245"/>
        <s v="ORD-1246"/>
        <s v="ORD-1247"/>
        <s v="ORD-1248"/>
        <s v="ORD-1249"/>
        <s v="ORD-1250"/>
        <s v="ORD-1251"/>
        <s v="ORD-1252"/>
        <s v="ORD-1253"/>
        <s v="ORD-1254"/>
        <s v="ORD-1255"/>
        <s v="ORD-1256"/>
        <s v="ORD-1257"/>
        <s v="ORD-1258"/>
        <s v="ORD-1259"/>
        <s v="ORD-1260"/>
        <s v="ORD-1261"/>
        <s v="ORD-1262"/>
        <s v="ORD-1263"/>
        <s v="ORD-1264"/>
        <s v="ORD-1265"/>
        <s v="ORD-1266"/>
        <s v="ORD-1267"/>
        <s v="ORD-1268"/>
        <s v="ORD-1269"/>
        <s v="ORD-1270"/>
        <s v="ORD-1271"/>
        <s v="ORD-1272"/>
        <s v="ORD-1273"/>
        <s v="ORD-1274"/>
        <s v="ORD-1275"/>
        <s v="ORD-1276"/>
        <s v="ORD-1277"/>
        <s v="ORD-1278"/>
        <s v="ORD-1279"/>
        <s v="ORD-1280"/>
        <s v="ORD-1281"/>
        <s v="ORD-1282"/>
        <s v="ORD-1283"/>
        <s v="ORD-1284"/>
        <s v="ORD-1285"/>
        <s v="ORD-1286"/>
        <s v="ORD-1287"/>
        <s v="ORD-1288"/>
        <s v="ORD-1289"/>
        <s v="ORD-1290"/>
        <s v="ORD-1291"/>
        <s v="ORD-1292"/>
        <s v="ORD-1293"/>
        <s v="ORD-1294"/>
        <s v="ORD-1295"/>
        <s v="ORD-1296"/>
        <s v="ORD-1297"/>
        <s v="ORD-1298"/>
        <s v="ORD-1299"/>
        <s v="ORD-1300"/>
        <s v="ORD-1301"/>
        <s v="ORD-1302"/>
        <s v="ORD-1303"/>
        <s v="ORD-1304"/>
        <s v="ORD-1305"/>
        <s v="ORD-1306"/>
        <s v="ORD-1307"/>
        <s v="ORD-1308"/>
        <s v="ORD-1309"/>
        <s v="ORD-1310"/>
        <s v="ORD-1311"/>
        <s v="ORD-1312"/>
        <s v="ORD-1313"/>
        <s v="ORD-1314"/>
        <s v="ORD-1315"/>
        <s v="ORD-1316"/>
        <s v="ORD-1317"/>
        <s v="ORD-1318"/>
        <s v="ORD-1319"/>
        <s v="ORD-1320"/>
      </sharedItems>
    </cacheField>
    <cacheField name="Order Date" numFmtId="0">
      <sharedItems containsSemiMixedTypes="0" containsNonDate="0" containsDate="1" containsString="0" minDate="2025-01-01T00:00:00" maxDate="2025-12-31T00:00:00" count="208">
        <d v="2025-01-01T00:00:00"/>
        <d v="2025-01-03T00:00:00"/>
        <d v="2025-01-06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6T00:00:00"/>
        <d v="2025-01-18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2T00:00:00"/>
        <d v="2025-02-03T00:00:00"/>
        <d v="2025-02-06T00:00:00"/>
        <d v="2025-02-07T00:00:00"/>
        <d v="2025-02-08T00:00:00"/>
        <d v="2025-02-09T00:00:00"/>
        <d v="2025-02-10T00:00:00"/>
        <d v="2025-02-13T00:00:00"/>
        <d v="2025-02-15T00:00:00"/>
        <d v="2025-02-16T00:00:00"/>
        <d v="2025-02-19T00:00:00"/>
        <d v="2025-02-20T00:00:00"/>
        <d v="2025-02-24T00:00:00"/>
        <d v="2025-02-26T00:00:00"/>
        <d v="2025-02-27T00:00:00"/>
        <d v="2025-03-01T00:00:00"/>
        <d v="2025-03-02T00:00:00"/>
        <d v="2025-03-04T00:00:00"/>
        <d v="2025-03-05T00:00:00"/>
        <d v="2025-03-06T00:00:00"/>
        <d v="2025-03-07T00:00:00"/>
        <d v="2025-03-09T00:00:00"/>
        <d v="2025-03-12T00:00:00"/>
        <d v="2025-03-13T00:00:00"/>
        <d v="2025-03-14T00:00:00"/>
        <d v="2025-03-15T00:00:00"/>
        <d v="2025-03-16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8T00:00:00"/>
        <d v="2025-03-29T00:00:00"/>
        <d v="2025-03-30T00:00:00"/>
        <d v="2025-04-02T00:00:00"/>
        <d v="2025-04-03T00:00:00"/>
        <d v="2025-04-04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7T00:00:00"/>
        <d v="2025-04-18T00:00:00"/>
        <d v="2025-04-19T00:00:00"/>
        <d v="2025-04-20T00:00:00"/>
        <d v="2025-04-21T00:00:00"/>
        <d v="2025-04-24T00:00:00"/>
        <d v="2025-04-25T00:00:00"/>
        <d v="2025-04-28T00:00:00"/>
        <d v="2025-04-29T00:00:00"/>
        <d v="2025-05-01T00:00:00"/>
        <d v="2025-05-02T00:00:00"/>
        <d v="2025-05-06T00:00:00"/>
        <d v="2025-05-07T00:00:00"/>
        <d v="2025-05-09T00:00:00"/>
        <d v="2025-05-12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4T00:00:00"/>
        <d v="2025-05-28T00:00:00"/>
        <d v="2025-05-30T00:00:00"/>
        <d v="2025-06-04T00:00:00"/>
        <d v="2025-06-06T00:00:00"/>
        <d v="2025-06-07T00:00:00"/>
        <d v="2025-06-09T00:00:00"/>
        <d v="2025-06-10T00:00:00"/>
        <d v="2025-06-14T00:00:00"/>
        <d v="2025-06-15T00:00:00"/>
        <d v="2025-06-16T00:00:00"/>
        <d v="2025-06-18T00:00:00"/>
        <d v="2025-06-20T00:00:00"/>
        <d v="2025-06-22T00:00:00"/>
        <d v="2025-06-24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5T00:00:00"/>
        <d v="2025-07-16T00:00:00"/>
        <d v="2025-07-19T00:00:00"/>
        <d v="2025-07-20T00:00:00"/>
        <d v="2025-07-23T00:00:00"/>
        <d v="2025-07-25T00:00:00"/>
        <d v="2025-07-28T00:00:00"/>
        <d v="2025-07-30T00:00:00"/>
        <d v="2025-08-05T00:00:00"/>
        <d v="2025-08-06T00:00:00"/>
        <d v="2025-08-07T00:00:00"/>
        <d v="2025-08-08T00:00:00"/>
        <d v="2025-08-09T00:00:00"/>
        <d v="2025-08-11T00:00:00"/>
        <d v="2025-08-13T00:00:00"/>
        <d v="2025-08-14T00:00:00"/>
        <d v="2025-08-15T00:00:00"/>
        <d v="2025-08-16T00:00:00"/>
        <d v="2025-08-17T00:00:00"/>
        <d v="2025-08-20T00:00:00"/>
        <d v="2025-08-23T00:00:00"/>
        <d v="2025-08-26T00:00:00"/>
        <d v="2025-08-28T00:00:00"/>
        <d v="2025-09-06T00:00:00"/>
        <d v="2025-09-07T00:00:00"/>
        <d v="2025-09-08T00:00:00"/>
        <d v="2025-09-09T00:00:00"/>
        <d v="2025-09-11T00:00:00"/>
        <d v="2025-09-13T00:00:00"/>
        <d v="2025-09-14T00:00:00"/>
        <d v="2025-09-18T00:00:00"/>
        <d v="2025-09-21T00:00:00"/>
        <d v="2025-09-22T00:00:00"/>
        <d v="2025-09-24T00:00:00"/>
        <d v="2025-09-26T00:00:00"/>
        <d v="2025-09-27T00:00:00"/>
        <d v="2025-09-28T00:00:00"/>
        <d v="2025-09-29T00:00:00"/>
        <d v="2025-10-02T00:00:00"/>
        <d v="2025-10-04T00:00:00"/>
        <d v="2025-10-06T00:00:00"/>
        <d v="2025-10-09T00:00:00"/>
        <d v="2025-10-10T00:00:00"/>
        <d v="2025-10-12T00:00:00"/>
        <d v="2025-10-14T00:00:00"/>
        <d v="2025-10-15T00:00:00"/>
        <d v="2025-10-17T00:00:00"/>
        <d v="2025-10-19T00:00:00"/>
        <d v="2025-10-20T00:00:00"/>
        <d v="2025-10-21T00:00:00"/>
        <d v="2025-10-25T00:00:00"/>
        <d v="2025-10-27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2T00:00:00"/>
        <d v="2025-11-14T00:00:00"/>
        <d v="2025-11-15T00:00:00"/>
        <d v="2025-11-16T00:00:00"/>
        <d v="2025-11-17T00:00:00"/>
        <d v="2025-11-18T00:00:00"/>
        <d v="2025-11-19T00:00:00"/>
        <d v="2025-11-22T00:00:00"/>
        <d v="2025-11-24T00:00:00"/>
        <d v="2025-11-25T00:00:00"/>
        <d v="2025-11-27T00:00:00"/>
        <d v="2025-11-28T00:00:00"/>
        <d v="2025-12-01T00:00:00"/>
        <d v="2025-12-03T00:00:00"/>
        <d v="2025-12-04T00:00:00"/>
        <d v="2025-12-07T00:00:00"/>
        <d v="2025-12-08T00:00:00"/>
        <d v="2025-12-10T00:00:00"/>
        <d v="2025-12-13T00:00:00"/>
        <d v="2025-12-15T00:00:00"/>
        <d v="2025-12-17T00:00:00"/>
        <d v="2025-12-18T00:00:00"/>
        <d v="2025-12-19T00:00:00"/>
        <d v="2025-12-21T00:00:00"/>
        <d v="2025-12-23T00:00:00"/>
        <d v="2025-12-29T00:00:00"/>
        <d v="2025-12-31T00:00:00"/>
      </sharedItems>
    </cacheField>
    <cacheField name="Customer Name" numFmtId="0">
      <sharedItems count="10">
        <s v="Amit Shah"/>
        <s v="Anaya Singh"/>
        <s v="Arjun Desai"/>
        <s v="Harsh Jain"/>
        <s v="Karan Joshi"/>
        <s v="Neha Patil"/>
        <s v="Pooja Nair"/>
        <s v="Raj Mehta"/>
        <s v="Riya Kapoor"/>
        <s v="Sneha Rao"/>
      </sharedItems>
    </cacheField>
    <cacheField name="City" numFmtId="0">
      <sharedItems count="18">
        <s v="Ahmedabad"/>
        <s v="Bengaluru"/>
        <s v="Chennai"/>
        <s v="Coimbatore"/>
        <s v="Dwarka"/>
        <s v="Jaipur"/>
        <s v="Jodhpur"/>
        <s v="Madurai"/>
        <s v="Mangaluru"/>
        <s v="Mumbai"/>
        <s v="Mysuru"/>
        <s v="Nashik"/>
        <s v="New Delhi"/>
        <s v="Pune"/>
        <s v="Rohini"/>
        <s v="Surat"/>
        <s v="Udaipur"/>
        <s v="Vadodara"/>
      </sharedItems>
    </cacheField>
    <cacheField name="State" numFmtId="0">
      <sharedItems count="6">
        <s v="Delhi"/>
        <s v="Gujarat"/>
        <s v="Karnataka"/>
        <s v="Maharashtra"/>
        <s v="Rajasthan"/>
        <s v="Tamil Nadu"/>
      </sharedItems>
    </cacheField>
    <cacheField name="Region" numFmtId="0">
      <sharedItems count="3">
        <s v="North"/>
        <s v="South"/>
        <s v="West"/>
      </sharedItems>
    </cacheField>
    <cacheField name="Category" numFmtId="0">
      <sharedItems count="5">
        <s v="Accessories"/>
        <s v="Audio"/>
        <s v="Laptop"/>
        <s v="Mobile"/>
        <s v="Monitor"/>
      </sharedItems>
    </cacheField>
    <cacheField name="Product Name" numFmtId="0">
      <sharedItems count="15">
        <s v="Acer Aspire 5"/>
        <s v="Bluetooth Speaker"/>
        <s v="Dell 27 inch"/>
        <s v="Headphones"/>
        <s v="HP 15s"/>
        <s v="Keyboard"/>
        <s v="Lenovo IdeaPad"/>
        <s v="LG 24 inch"/>
        <s v="OnePlus Nord"/>
        <s v="Realme Pro"/>
        <s v="Samsung 24 inch"/>
        <s v="Samsung Galaxy A"/>
        <s v="USB Hub"/>
        <s v="Wireless Earbuds"/>
        <s v="Wireless Mouse"/>
      </sharedItems>
    </cacheField>
    <cacheField name="Quantit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Unit Price" numFmtId="0">
      <sharedItems containsSemiMixedTypes="0" containsString="0" containsNumber="1" containsInteger="1" minValue="900" maxValue="61000" count="15">
        <n v="900"/>
        <n v="1200"/>
        <n v="1500"/>
        <n v="2800"/>
        <n v="3200"/>
        <n v="4500"/>
        <n v="13500"/>
        <n v="14500"/>
        <n v="19000"/>
        <n v="21000"/>
        <n v="24000"/>
        <n v="29000"/>
        <n v="52000"/>
        <n v="58000"/>
        <n v="61000"/>
      </sharedItems>
    </cacheField>
    <cacheField name="Discount %" numFmtId="0">
      <sharedItems containsSemiMixedTypes="0" containsString="0" containsNumber="1" minValue="0" maxValue="0.15" count="4">
        <n v="0"/>
        <n v="0.05"/>
        <n v="0.1"/>
        <n v="0.15"/>
      </sharedItems>
    </cacheField>
    <cacheField name="Sales Amount" numFmtId="0">
      <sharedItems containsSemiMixedTypes="0" containsString="0" containsNumber="1" containsInteger="1" minValue="765" maxValue="244000" count="155">
        <n v="765"/>
        <n v="810"/>
        <n v="900"/>
        <n v="1020"/>
        <n v="1080"/>
        <n v="1140"/>
        <n v="1200"/>
        <n v="1275"/>
        <n v="1350"/>
        <n v="1500"/>
        <n v="1620"/>
        <n v="1710"/>
        <n v="1800"/>
        <n v="2040"/>
        <n v="2280"/>
        <n v="2295"/>
        <n v="2380"/>
        <n v="2400"/>
        <n v="2430"/>
        <n v="2520"/>
        <n v="2550"/>
        <n v="2565"/>
        <n v="2660"/>
        <n v="2700"/>
        <n v="2720"/>
        <n v="2800"/>
        <n v="2850"/>
        <n v="2880"/>
        <n v="3000"/>
        <n v="3060"/>
        <n v="3200"/>
        <n v="3240"/>
        <n v="3420"/>
        <n v="3600"/>
        <n v="3825"/>
        <n v="4050"/>
        <n v="4275"/>
        <n v="4320"/>
        <n v="4500"/>
        <n v="4560"/>
        <n v="4760"/>
        <n v="5040"/>
        <n v="5100"/>
        <n v="5320"/>
        <n v="5400"/>
        <n v="5600"/>
        <n v="5700"/>
        <n v="5760"/>
        <n v="6000"/>
        <n v="6080"/>
        <n v="7560"/>
        <n v="8100"/>
        <n v="8160"/>
        <n v="8400"/>
        <n v="8640"/>
        <n v="9520"/>
        <n v="9600"/>
        <n v="10080"/>
        <n v="10640"/>
        <n v="11200"/>
        <n v="11475"/>
        <n v="11520"/>
        <n v="12150"/>
        <n v="12160"/>
        <n v="12325"/>
        <n v="12800"/>
        <n v="12825"/>
        <n v="13050"/>
        <n v="13500"/>
        <n v="13775"/>
        <n v="14500"/>
        <n v="15300"/>
        <n v="16200"/>
        <n v="17100"/>
        <n v="17850"/>
        <n v="18000"/>
        <n v="19950"/>
        <n v="20400"/>
        <n v="21000"/>
        <n v="22950"/>
        <n v="24000"/>
        <n v="24300"/>
        <n v="25650"/>
        <n v="26100"/>
        <n v="27000"/>
        <n v="27550"/>
        <n v="29000"/>
        <n v="34425"/>
        <n v="35700"/>
        <n v="36975"/>
        <n v="37800"/>
        <n v="39150"/>
        <n v="39900"/>
        <n v="40500"/>
        <n v="40800"/>
        <n v="42000"/>
        <n v="43200"/>
        <n v="43500"/>
        <n v="44200"/>
        <n v="45600"/>
        <n v="45900"/>
        <n v="48000"/>
        <n v="48600"/>
        <n v="49300"/>
        <n v="49400"/>
        <n v="51850"/>
        <n v="52200"/>
        <n v="53550"/>
        <n v="54000"/>
        <n v="54900"/>
        <n v="55100"/>
        <n v="56700"/>
        <n v="57950"/>
        <n v="58000"/>
        <n v="58700"/>
        <n v="59850"/>
        <n v="61000"/>
        <n v="61200"/>
        <n v="63000"/>
        <n v="68400"/>
        <n v="71400"/>
        <n v="72000"/>
        <n v="75600"/>
        <n v="78300"/>
        <n v="81600"/>
        <n v="82650"/>
        <n v="84000"/>
        <n v="86400"/>
        <n v="87000"/>
        <n v="88400"/>
        <n v="93600"/>
        <n v="96000"/>
        <n v="98600"/>
        <n v="98800"/>
        <n v="103700"/>
        <n v="104000"/>
        <n v="104400"/>
        <n v="109800"/>
        <n v="110200"/>
        <n v="115900"/>
        <n v="116000"/>
        <n v="122000"/>
        <n v="132600"/>
        <n v="148200"/>
        <n v="155550"/>
        <n v="156000"/>
        <n v="156600"/>
        <n v="164700"/>
        <n v="174000"/>
        <n v="176800"/>
        <n v="183000"/>
        <n v="208000"/>
        <n v="208800"/>
        <n v="219600"/>
        <n v="244000"/>
      </sharedItems>
    </cacheField>
    <cacheField name="Profit" numFmtId="0">
      <sharedItems containsSemiMixedTypes="0" containsString="0" containsNumber="1" containsInteger="1" minValue="-9150" maxValue="183000" count="148">
        <n v="-9150"/>
        <n v="-8700"/>
        <n v="-7800"/>
        <n v="-6100"/>
        <n v="-3600"/>
        <n v="-3150"/>
        <n v="-3050"/>
        <n v="-2900"/>
        <n v="-2600"/>
        <n v="-2175"/>
        <n v="-2025"/>
        <n v="-1450"/>
        <n v="-1350"/>
        <n v="-1050"/>
        <n v="-725"/>
        <n v="-675"/>
        <n v="-480"/>
        <n v="-450"/>
        <n v="-420"/>
        <n v="-320"/>
        <n v="-280"/>
        <n v="-225"/>
        <n v="-180"/>
        <n v="-150"/>
        <n v="-140"/>
        <n v="-135"/>
        <n v="-120"/>
        <n v="-90"/>
        <n v="-60"/>
        <n v="0"/>
        <n v="720"/>
        <n v="810"/>
        <n v="840"/>
        <n v="900"/>
        <n v="1050"/>
        <n v="1080"/>
        <n v="1200"/>
        <n v="1350"/>
        <n v="1395"/>
        <n v="1500"/>
        <n v="1530"/>
        <n v="1665"/>
        <n v="1800"/>
        <n v="1960"/>
        <n v="2160"/>
        <n v="2240"/>
        <n v="2340"/>
        <n v="2400"/>
        <n v="2520"/>
        <n v="2550"/>
        <n v="2560"/>
        <n v="2700"/>
        <n v="2775"/>
        <n v="2800"/>
        <n v="2880"/>
        <n v="3000"/>
        <n v="3120"/>
        <n v="3360"/>
        <n v="3600"/>
        <n v="3900"/>
        <n v="4200"/>
        <n v="4500"/>
        <n v="4760"/>
        <n v="4960"/>
        <n v="5440"/>
        <n v="5600"/>
        <n v="6400"/>
        <n v="6720"/>
        <n v="7280"/>
        <n v="7840"/>
        <n v="8320"/>
        <n v="8325"/>
        <n v="8400"/>
        <n v="8960"/>
        <n v="9000"/>
        <n v="9450"/>
        <n v="9600"/>
        <n v="10800"/>
        <n v="11700"/>
        <n v="12150"/>
        <n v="12600"/>
        <n v="13050"/>
        <n v="13500"/>
        <n v="14500"/>
        <n v="14700"/>
        <n v="16800"/>
        <n v="18900"/>
        <n v="19200"/>
        <n v="20300"/>
        <n v="20925"/>
        <n v="21000"/>
        <n v="21600"/>
        <n v="22475"/>
        <n v="23200"/>
        <n v="24000"/>
        <n v="24650"/>
        <n v="27000"/>
        <n v="29000"/>
        <n v="32400"/>
        <n v="32550"/>
        <n v="34800"/>
        <n v="35100"/>
        <n v="35700"/>
        <n v="36400"/>
        <n v="37200"/>
        <n v="37700"/>
        <n v="38850"/>
        <n v="39700"/>
        <n v="40500"/>
        <n v="40600"/>
        <n v="41600"/>
        <n v="42000"/>
        <n v="42700"/>
        <n v="43500"/>
        <n v="46400"/>
        <n v="46800"/>
        <n v="48000"/>
        <n v="48800"/>
        <n v="49300"/>
        <n v="50400"/>
        <n v="52000"/>
        <n v="52200"/>
        <n v="53650"/>
        <n v="54600"/>
        <n v="54900"/>
        <n v="57600"/>
        <n v="58000"/>
        <n v="61000"/>
        <n v="62400"/>
        <n v="63000"/>
        <n v="65200"/>
        <n v="69600"/>
        <n v="72000"/>
        <n v="75400"/>
        <n v="80600"/>
        <n v="87000"/>
        <n v="94550"/>
        <n v="96200"/>
        <n v="98600"/>
        <n v="103700"/>
        <n v="104000"/>
        <n v="116000"/>
        <n v="122000"/>
        <n v="124800"/>
        <n v="150800"/>
        <n v="156000"/>
        <n v="158600"/>
        <n v="183000"/>
      </sharedItems>
    </cacheField>
    <cacheField name="Payment Mode" numFmtId="0">
      <sharedItems count="5">
        <s v="Cash"/>
        <s v="Credit Card"/>
        <s v="Debit Card"/>
        <s v="Net Banking"/>
        <s v="UPI"/>
      </sharedItems>
    </cacheField>
    <cacheField name="Salesperson" numFmtId="0">
      <sharedItems count="8">
        <s v="Aarav"/>
        <s v="Aditya"/>
        <s v="Diya"/>
        <s v="Isha"/>
        <s v="Kavya"/>
        <s v="Meera"/>
        <s v="Rohan"/>
        <s v="Vivaan"/>
      </sharedItems>
    </cacheField>
    <cacheField name="Sales Level" numFmtId="0">
      <sharedItems count="3">
        <s v="High"/>
        <s v="Low"/>
        <s v="Medium"/>
      </sharedItems>
    </cacheField>
    <cacheField name="Profit Status" numFmtId="0">
      <sharedItems count="2">
        <s v="Loss"/>
        <s v="Profit"/>
      </sharedItems>
    </cacheField>
    <cacheField name="Month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" xr:uid="{00000000-000A-0000-FFFF-FFFF02000000}">
  <cacheSource type="worksheet">
    <worksheetSource ref="A32:C38" sheet="Pivot_Reports"/>
  </cacheSource>
  <cacheFields count="3">
    <cacheField name="State" numFmtId="0">
      <sharedItems count="6">
        <s v="Delhi"/>
        <s v="Gujarat"/>
        <s v="Karnataka"/>
        <s v="Maharashtra"/>
        <s v="Rajasthan"/>
        <s v="Tamil Nadu"/>
      </sharedItems>
    </cacheField>
    <cacheField name="Orders" numFmtId="0">
      <sharedItems containsSemiMixedTypes="0" containsString="0" containsNumber="1" containsInteger="1" minValue="45" maxValue="59" count="6">
        <n v="45"/>
        <n v="48"/>
        <n v="55"/>
        <n v="56"/>
        <n v="57"/>
        <n v="59"/>
      </sharedItems>
    </cacheField>
    <cacheField name="Sales" numFmtId="0">
      <sharedItems containsSemiMixedTypes="0" containsString="0" containsNumber="1" containsInteger="1" minValue="1718335" maxValue="2898385" count="6">
        <n v="1718335"/>
        <n v="1871540"/>
        <n v="2103190"/>
        <n v="2519510"/>
        <n v="2628110"/>
        <n v="28983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0">
  <r>
    <x v="0"/>
    <x v="22"/>
    <x v="4"/>
    <x v="3"/>
    <x v="5"/>
    <x v="1"/>
    <x v="0"/>
    <x v="5"/>
    <x v="1"/>
    <x v="2"/>
    <x v="0"/>
    <x v="28"/>
    <x v="39"/>
    <x v="3"/>
    <x v="5"/>
    <x v="1"/>
    <x v="1"/>
    <x v="3"/>
  </r>
  <r>
    <x v="1"/>
    <x v="147"/>
    <x v="5"/>
    <x v="4"/>
    <x v="0"/>
    <x v="0"/>
    <x v="1"/>
    <x v="1"/>
    <x v="1"/>
    <x v="4"/>
    <x v="0"/>
    <x v="119"/>
    <x v="130"/>
    <x v="3"/>
    <x v="2"/>
    <x v="2"/>
    <x v="1"/>
    <x v="11"/>
  </r>
  <r>
    <x v="2"/>
    <x v="108"/>
    <x v="0"/>
    <x v="16"/>
    <x v="4"/>
    <x v="0"/>
    <x v="1"/>
    <x v="3"/>
    <x v="0"/>
    <x v="3"/>
    <x v="2"/>
    <x v="19"/>
    <x v="20"/>
    <x v="0"/>
    <x v="7"/>
    <x v="1"/>
    <x v="0"/>
    <x v="6"/>
  </r>
  <r>
    <x v="3"/>
    <x v="45"/>
    <x v="5"/>
    <x v="17"/>
    <x v="1"/>
    <x v="2"/>
    <x v="0"/>
    <x v="12"/>
    <x v="1"/>
    <x v="1"/>
    <x v="3"/>
    <x v="13"/>
    <x v="32"/>
    <x v="0"/>
    <x v="7"/>
    <x v="1"/>
    <x v="1"/>
    <x v="7"/>
  </r>
  <r>
    <x v="4"/>
    <x v="206"/>
    <x v="7"/>
    <x v="2"/>
    <x v="5"/>
    <x v="1"/>
    <x v="4"/>
    <x v="7"/>
    <x v="1"/>
    <x v="6"/>
    <x v="2"/>
    <x v="81"/>
    <x v="77"/>
    <x v="2"/>
    <x v="0"/>
    <x v="1"/>
    <x v="1"/>
    <x v="2"/>
  </r>
  <r>
    <x v="5"/>
    <x v="170"/>
    <x v="1"/>
    <x v="17"/>
    <x v="1"/>
    <x v="2"/>
    <x v="2"/>
    <x v="6"/>
    <x v="1"/>
    <x v="13"/>
    <x v="1"/>
    <x v="138"/>
    <x v="121"/>
    <x v="0"/>
    <x v="2"/>
    <x v="0"/>
    <x v="1"/>
    <x v="10"/>
  </r>
  <r>
    <x v="6"/>
    <x v="51"/>
    <x v="4"/>
    <x v="4"/>
    <x v="0"/>
    <x v="0"/>
    <x v="1"/>
    <x v="13"/>
    <x v="0"/>
    <x v="5"/>
    <x v="1"/>
    <x v="36"/>
    <x v="21"/>
    <x v="1"/>
    <x v="3"/>
    <x v="1"/>
    <x v="0"/>
    <x v="7"/>
  </r>
  <r>
    <x v="7"/>
    <x v="68"/>
    <x v="8"/>
    <x v="14"/>
    <x v="0"/>
    <x v="0"/>
    <x v="2"/>
    <x v="4"/>
    <x v="1"/>
    <x v="14"/>
    <x v="0"/>
    <x v="141"/>
    <x v="127"/>
    <x v="3"/>
    <x v="2"/>
    <x v="0"/>
    <x v="1"/>
    <x v="0"/>
  </r>
  <r>
    <x v="8"/>
    <x v="93"/>
    <x v="4"/>
    <x v="4"/>
    <x v="0"/>
    <x v="0"/>
    <x v="2"/>
    <x v="6"/>
    <x v="2"/>
    <x v="13"/>
    <x v="0"/>
    <x v="148"/>
    <x v="141"/>
    <x v="3"/>
    <x v="2"/>
    <x v="0"/>
    <x v="1"/>
    <x v="6"/>
  </r>
  <r>
    <x v="9"/>
    <x v="7"/>
    <x v="4"/>
    <x v="4"/>
    <x v="0"/>
    <x v="0"/>
    <x v="1"/>
    <x v="13"/>
    <x v="0"/>
    <x v="5"/>
    <x v="3"/>
    <x v="34"/>
    <x v="15"/>
    <x v="1"/>
    <x v="3"/>
    <x v="1"/>
    <x v="0"/>
    <x v="4"/>
  </r>
  <r>
    <x v="10"/>
    <x v="61"/>
    <x v="4"/>
    <x v="6"/>
    <x v="4"/>
    <x v="0"/>
    <x v="2"/>
    <x v="0"/>
    <x v="0"/>
    <x v="12"/>
    <x v="1"/>
    <x v="104"/>
    <x v="8"/>
    <x v="3"/>
    <x v="2"/>
    <x v="2"/>
    <x v="0"/>
    <x v="0"/>
  </r>
  <r>
    <x v="11"/>
    <x v="59"/>
    <x v="9"/>
    <x v="11"/>
    <x v="3"/>
    <x v="2"/>
    <x v="1"/>
    <x v="13"/>
    <x v="3"/>
    <x v="5"/>
    <x v="0"/>
    <x v="75"/>
    <x v="82"/>
    <x v="4"/>
    <x v="4"/>
    <x v="1"/>
    <x v="1"/>
    <x v="0"/>
  </r>
  <r>
    <x v="12"/>
    <x v="21"/>
    <x v="9"/>
    <x v="15"/>
    <x v="1"/>
    <x v="2"/>
    <x v="3"/>
    <x v="9"/>
    <x v="2"/>
    <x v="8"/>
    <x v="2"/>
    <x v="114"/>
    <x v="107"/>
    <x v="4"/>
    <x v="6"/>
    <x v="2"/>
    <x v="1"/>
    <x v="3"/>
  </r>
  <r>
    <x v="13"/>
    <x v="177"/>
    <x v="8"/>
    <x v="9"/>
    <x v="3"/>
    <x v="2"/>
    <x v="0"/>
    <x v="14"/>
    <x v="1"/>
    <x v="0"/>
    <x v="2"/>
    <x v="10"/>
    <x v="30"/>
    <x v="4"/>
    <x v="4"/>
    <x v="1"/>
    <x v="1"/>
    <x v="9"/>
  </r>
  <r>
    <x v="14"/>
    <x v="96"/>
    <x v="3"/>
    <x v="16"/>
    <x v="4"/>
    <x v="0"/>
    <x v="0"/>
    <x v="14"/>
    <x v="3"/>
    <x v="0"/>
    <x v="0"/>
    <x v="33"/>
    <x v="51"/>
    <x v="0"/>
    <x v="4"/>
    <x v="1"/>
    <x v="1"/>
    <x v="6"/>
  </r>
  <r>
    <x v="15"/>
    <x v="168"/>
    <x v="0"/>
    <x v="10"/>
    <x v="2"/>
    <x v="1"/>
    <x v="3"/>
    <x v="9"/>
    <x v="1"/>
    <x v="9"/>
    <x v="1"/>
    <x v="92"/>
    <x v="86"/>
    <x v="1"/>
    <x v="2"/>
    <x v="2"/>
    <x v="1"/>
    <x v="10"/>
  </r>
  <r>
    <x v="16"/>
    <x v="134"/>
    <x v="9"/>
    <x v="8"/>
    <x v="2"/>
    <x v="1"/>
    <x v="4"/>
    <x v="10"/>
    <x v="0"/>
    <x v="7"/>
    <x v="0"/>
    <x v="70"/>
    <x v="29"/>
    <x v="2"/>
    <x v="0"/>
    <x v="1"/>
    <x v="0"/>
    <x v="1"/>
  </r>
  <r>
    <x v="17"/>
    <x v="54"/>
    <x v="3"/>
    <x v="0"/>
    <x v="1"/>
    <x v="2"/>
    <x v="1"/>
    <x v="1"/>
    <x v="2"/>
    <x v="4"/>
    <x v="0"/>
    <x v="56"/>
    <x v="66"/>
    <x v="4"/>
    <x v="6"/>
    <x v="1"/>
    <x v="1"/>
    <x v="7"/>
  </r>
  <r>
    <x v="18"/>
    <x v="16"/>
    <x v="6"/>
    <x v="1"/>
    <x v="2"/>
    <x v="1"/>
    <x v="4"/>
    <x v="10"/>
    <x v="3"/>
    <x v="7"/>
    <x v="3"/>
    <x v="103"/>
    <x v="100"/>
    <x v="2"/>
    <x v="4"/>
    <x v="2"/>
    <x v="1"/>
    <x v="4"/>
  </r>
  <r>
    <x v="19"/>
    <x v="101"/>
    <x v="3"/>
    <x v="11"/>
    <x v="3"/>
    <x v="2"/>
    <x v="4"/>
    <x v="10"/>
    <x v="3"/>
    <x v="7"/>
    <x v="1"/>
    <x v="110"/>
    <x v="109"/>
    <x v="1"/>
    <x v="1"/>
    <x v="2"/>
    <x v="1"/>
    <x v="6"/>
  </r>
  <r>
    <x v="20"/>
    <x v="154"/>
    <x v="6"/>
    <x v="2"/>
    <x v="5"/>
    <x v="1"/>
    <x v="3"/>
    <x v="11"/>
    <x v="2"/>
    <x v="10"/>
    <x v="0"/>
    <x v="121"/>
    <x v="116"/>
    <x v="2"/>
    <x v="1"/>
    <x v="2"/>
    <x v="1"/>
    <x v="11"/>
  </r>
  <r>
    <x v="21"/>
    <x v="15"/>
    <x v="7"/>
    <x v="10"/>
    <x v="2"/>
    <x v="1"/>
    <x v="2"/>
    <x v="0"/>
    <x v="0"/>
    <x v="12"/>
    <x v="3"/>
    <x v="98"/>
    <x v="2"/>
    <x v="4"/>
    <x v="3"/>
    <x v="2"/>
    <x v="0"/>
    <x v="4"/>
  </r>
  <r>
    <x v="22"/>
    <x v="194"/>
    <x v="1"/>
    <x v="5"/>
    <x v="4"/>
    <x v="0"/>
    <x v="1"/>
    <x v="1"/>
    <x v="1"/>
    <x v="4"/>
    <x v="1"/>
    <x v="49"/>
    <x v="54"/>
    <x v="0"/>
    <x v="5"/>
    <x v="1"/>
    <x v="1"/>
    <x v="2"/>
  </r>
  <r>
    <x v="23"/>
    <x v="21"/>
    <x v="8"/>
    <x v="7"/>
    <x v="5"/>
    <x v="1"/>
    <x v="4"/>
    <x v="2"/>
    <x v="2"/>
    <x v="9"/>
    <x v="3"/>
    <x v="107"/>
    <x v="99"/>
    <x v="2"/>
    <x v="5"/>
    <x v="2"/>
    <x v="1"/>
    <x v="3"/>
  </r>
  <r>
    <x v="24"/>
    <x v="193"/>
    <x v="6"/>
    <x v="3"/>
    <x v="5"/>
    <x v="1"/>
    <x v="0"/>
    <x v="5"/>
    <x v="1"/>
    <x v="2"/>
    <x v="3"/>
    <x v="20"/>
    <x v="34"/>
    <x v="3"/>
    <x v="4"/>
    <x v="1"/>
    <x v="1"/>
    <x v="2"/>
  </r>
  <r>
    <x v="25"/>
    <x v="190"/>
    <x v="7"/>
    <x v="17"/>
    <x v="1"/>
    <x v="2"/>
    <x v="0"/>
    <x v="14"/>
    <x v="2"/>
    <x v="0"/>
    <x v="1"/>
    <x v="21"/>
    <x v="41"/>
    <x v="0"/>
    <x v="3"/>
    <x v="1"/>
    <x v="1"/>
    <x v="9"/>
  </r>
  <r>
    <x v="26"/>
    <x v="156"/>
    <x v="8"/>
    <x v="4"/>
    <x v="0"/>
    <x v="0"/>
    <x v="0"/>
    <x v="14"/>
    <x v="1"/>
    <x v="0"/>
    <x v="0"/>
    <x v="12"/>
    <x v="33"/>
    <x v="3"/>
    <x v="0"/>
    <x v="1"/>
    <x v="1"/>
    <x v="11"/>
  </r>
  <r>
    <x v="27"/>
    <x v="49"/>
    <x v="6"/>
    <x v="13"/>
    <x v="3"/>
    <x v="2"/>
    <x v="3"/>
    <x v="8"/>
    <x v="0"/>
    <x v="11"/>
    <x v="0"/>
    <x v="86"/>
    <x v="29"/>
    <x v="2"/>
    <x v="1"/>
    <x v="1"/>
    <x v="0"/>
    <x v="7"/>
  </r>
  <r>
    <x v="28"/>
    <x v="191"/>
    <x v="0"/>
    <x v="16"/>
    <x v="4"/>
    <x v="0"/>
    <x v="0"/>
    <x v="12"/>
    <x v="0"/>
    <x v="1"/>
    <x v="0"/>
    <x v="6"/>
    <x v="29"/>
    <x v="0"/>
    <x v="2"/>
    <x v="1"/>
    <x v="0"/>
    <x v="9"/>
  </r>
  <r>
    <x v="29"/>
    <x v="7"/>
    <x v="6"/>
    <x v="9"/>
    <x v="3"/>
    <x v="2"/>
    <x v="4"/>
    <x v="2"/>
    <x v="1"/>
    <x v="9"/>
    <x v="0"/>
    <x v="95"/>
    <x v="90"/>
    <x v="4"/>
    <x v="7"/>
    <x v="2"/>
    <x v="1"/>
    <x v="4"/>
  </r>
  <r>
    <x v="30"/>
    <x v="7"/>
    <x v="9"/>
    <x v="10"/>
    <x v="2"/>
    <x v="1"/>
    <x v="2"/>
    <x v="6"/>
    <x v="0"/>
    <x v="13"/>
    <x v="3"/>
    <x v="103"/>
    <x v="1"/>
    <x v="2"/>
    <x v="2"/>
    <x v="2"/>
    <x v="0"/>
    <x v="4"/>
  </r>
  <r>
    <x v="31"/>
    <x v="165"/>
    <x v="4"/>
    <x v="9"/>
    <x v="3"/>
    <x v="2"/>
    <x v="4"/>
    <x v="7"/>
    <x v="1"/>
    <x v="6"/>
    <x v="0"/>
    <x v="84"/>
    <x v="82"/>
    <x v="0"/>
    <x v="0"/>
    <x v="1"/>
    <x v="1"/>
    <x v="10"/>
  </r>
  <r>
    <x v="32"/>
    <x v="101"/>
    <x v="8"/>
    <x v="14"/>
    <x v="0"/>
    <x v="0"/>
    <x v="4"/>
    <x v="7"/>
    <x v="3"/>
    <x v="6"/>
    <x v="0"/>
    <x v="108"/>
    <x v="108"/>
    <x v="2"/>
    <x v="7"/>
    <x v="2"/>
    <x v="1"/>
    <x v="6"/>
  </r>
  <r>
    <x v="33"/>
    <x v="62"/>
    <x v="2"/>
    <x v="7"/>
    <x v="5"/>
    <x v="1"/>
    <x v="3"/>
    <x v="9"/>
    <x v="2"/>
    <x v="9"/>
    <x v="1"/>
    <x v="115"/>
    <x v="106"/>
    <x v="3"/>
    <x v="3"/>
    <x v="2"/>
    <x v="1"/>
    <x v="0"/>
  </r>
  <r>
    <x v="34"/>
    <x v="189"/>
    <x v="1"/>
    <x v="5"/>
    <x v="4"/>
    <x v="0"/>
    <x v="2"/>
    <x v="6"/>
    <x v="3"/>
    <x v="13"/>
    <x v="2"/>
    <x v="152"/>
    <x v="144"/>
    <x v="0"/>
    <x v="5"/>
    <x v="0"/>
    <x v="1"/>
    <x v="9"/>
  </r>
  <r>
    <x v="35"/>
    <x v="202"/>
    <x v="2"/>
    <x v="10"/>
    <x v="2"/>
    <x v="1"/>
    <x v="3"/>
    <x v="11"/>
    <x v="0"/>
    <x v="10"/>
    <x v="0"/>
    <x v="80"/>
    <x v="29"/>
    <x v="1"/>
    <x v="6"/>
    <x v="1"/>
    <x v="0"/>
    <x v="2"/>
  </r>
  <r>
    <x v="36"/>
    <x v="58"/>
    <x v="4"/>
    <x v="4"/>
    <x v="0"/>
    <x v="0"/>
    <x v="4"/>
    <x v="10"/>
    <x v="3"/>
    <x v="7"/>
    <x v="1"/>
    <x v="110"/>
    <x v="109"/>
    <x v="2"/>
    <x v="2"/>
    <x v="2"/>
    <x v="1"/>
    <x v="0"/>
  </r>
  <r>
    <x v="37"/>
    <x v="154"/>
    <x v="3"/>
    <x v="9"/>
    <x v="3"/>
    <x v="2"/>
    <x v="1"/>
    <x v="1"/>
    <x v="3"/>
    <x v="4"/>
    <x v="0"/>
    <x v="65"/>
    <x v="76"/>
    <x v="4"/>
    <x v="0"/>
    <x v="1"/>
    <x v="1"/>
    <x v="11"/>
  </r>
  <r>
    <x v="38"/>
    <x v="95"/>
    <x v="8"/>
    <x v="7"/>
    <x v="5"/>
    <x v="1"/>
    <x v="3"/>
    <x v="8"/>
    <x v="3"/>
    <x v="11"/>
    <x v="0"/>
    <x v="140"/>
    <x v="135"/>
    <x v="4"/>
    <x v="3"/>
    <x v="0"/>
    <x v="1"/>
    <x v="6"/>
  </r>
  <r>
    <x v="39"/>
    <x v="123"/>
    <x v="9"/>
    <x v="6"/>
    <x v="4"/>
    <x v="0"/>
    <x v="1"/>
    <x v="3"/>
    <x v="3"/>
    <x v="3"/>
    <x v="3"/>
    <x v="55"/>
    <x v="67"/>
    <x v="2"/>
    <x v="4"/>
    <x v="1"/>
    <x v="1"/>
    <x v="5"/>
  </r>
  <r>
    <x v="40"/>
    <x v="129"/>
    <x v="7"/>
    <x v="11"/>
    <x v="3"/>
    <x v="2"/>
    <x v="0"/>
    <x v="14"/>
    <x v="3"/>
    <x v="0"/>
    <x v="0"/>
    <x v="33"/>
    <x v="51"/>
    <x v="3"/>
    <x v="1"/>
    <x v="1"/>
    <x v="1"/>
    <x v="1"/>
  </r>
  <r>
    <x v="41"/>
    <x v="166"/>
    <x v="4"/>
    <x v="9"/>
    <x v="3"/>
    <x v="2"/>
    <x v="4"/>
    <x v="2"/>
    <x v="0"/>
    <x v="9"/>
    <x v="3"/>
    <x v="74"/>
    <x v="5"/>
    <x v="1"/>
    <x v="6"/>
    <x v="1"/>
    <x v="0"/>
    <x v="10"/>
  </r>
  <r>
    <x v="42"/>
    <x v="162"/>
    <x v="8"/>
    <x v="17"/>
    <x v="1"/>
    <x v="2"/>
    <x v="1"/>
    <x v="1"/>
    <x v="0"/>
    <x v="4"/>
    <x v="2"/>
    <x v="27"/>
    <x v="19"/>
    <x v="0"/>
    <x v="4"/>
    <x v="1"/>
    <x v="0"/>
    <x v="10"/>
  </r>
  <r>
    <x v="43"/>
    <x v="87"/>
    <x v="6"/>
    <x v="11"/>
    <x v="3"/>
    <x v="2"/>
    <x v="1"/>
    <x v="1"/>
    <x v="1"/>
    <x v="4"/>
    <x v="2"/>
    <x v="47"/>
    <x v="50"/>
    <x v="2"/>
    <x v="3"/>
    <x v="1"/>
    <x v="1"/>
    <x v="8"/>
  </r>
  <r>
    <x v="44"/>
    <x v="137"/>
    <x v="1"/>
    <x v="6"/>
    <x v="4"/>
    <x v="0"/>
    <x v="1"/>
    <x v="1"/>
    <x v="3"/>
    <x v="4"/>
    <x v="2"/>
    <x v="61"/>
    <x v="70"/>
    <x v="1"/>
    <x v="2"/>
    <x v="1"/>
    <x v="1"/>
    <x v="1"/>
  </r>
  <r>
    <x v="45"/>
    <x v="35"/>
    <x v="5"/>
    <x v="4"/>
    <x v="0"/>
    <x v="0"/>
    <x v="4"/>
    <x v="10"/>
    <x v="1"/>
    <x v="7"/>
    <x v="0"/>
    <x v="86"/>
    <x v="83"/>
    <x v="2"/>
    <x v="3"/>
    <x v="1"/>
    <x v="1"/>
    <x v="3"/>
  </r>
  <r>
    <x v="46"/>
    <x v="128"/>
    <x v="7"/>
    <x v="8"/>
    <x v="2"/>
    <x v="1"/>
    <x v="4"/>
    <x v="2"/>
    <x v="3"/>
    <x v="9"/>
    <x v="0"/>
    <x v="126"/>
    <x v="129"/>
    <x v="2"/>
    <x v="2"/>
    <x v="2"/>
    <x v="1"/>
    <x v="5"/>
  </r>
  <r>
    <x v="47"/>
    <x v="151"/>
    <x v="0"/>
    <x v="3"/>
    <x v="5"/>
    <x v="1"/>
    <x v="0"/>
    <x v="5"/>
    <x v="3"/>
    <x v="2"/>
    <x v="0"/>
    <x v="48"/>
    <x v="61"/>
    <x v="3"/>
    <x v="3"/>
    <x v="1"/>
    <x v="1"/>
    <x v="11"/>
  </r>
  <r>
    <x v="48"/>
    <x v="60"/>
    <x v="7"/>
    <x v="7"/>
    <x v="5"/>
    <x v="1"/>
    <x v="2"/>
    <x v="6"/>
    <x v="0"/>
    <x v="13"/>
    <x v="1"/>
    <x v="110"/>
    <x v="7"/>
    <x v="2"/>
    <x v="3"/>
    <x v="2"/>
    <x v="0"/>
    <x v="0"/>
  </r>
  <r>
    <x v="49"/>
    <x v="130"/>
    <x v="1"/>
    <x v="6"/>
    <x v="4"/>
    <x v="0"/>
    <x v="4"/>
    <x v="2"/>
    <x v="3"/>
    <x v="9"/>
    <x v="2"/>
    <x v="122"/>
    <x v="123"/>
    <x v="3"/>
    <x v="2"/>
    <x v="2"/>
    <x v="1"/>
    <x v="1"/>
  </r>
  <r>
    <x v="50"/>
    <x v="72"/>
    <x v="1"/>
    <x v="8"/>
    <x v="2"/>
    <x v="1"/>
    <x v="3"/>
    <x v="8"/>
    <x v="0"/>
    <x v="11"/>
    <x v="2"/>
    <x v="83"/>
    <x v="7"/>
    <x v="4"/>
    <x v="1"/>
    <x v="1"/>
    <x v="0"/>
    <x v="0"/>
  </r>
  <r>
    <x v="51"/>
    <x v="207"/>
    <x v="4"/>
    <x v="16"/>
    <x v="4"/>
    <x v="0"/>
    <x v="2"/>
    <x v="4"/>
    <x v="2"/>
    <x v="14"/>
    <x v="3"/>
    <x v="144"/>
    <x v="136"/>
    <x v="3"/>
    <x v="3"/>
    <x v="0"/>
    <x v="1"/>
    <x v="2"/>
  </r>
  <r>
    <x v="52"/>
    <x v="69"/>
    <x v="6"/>
    <x v="12"/>
    <x v="0"/>
    <x v="0"/>
    <x v="1"/>
    <x v="3"/>
    <x v="0"/>
    <x v="3"/>
    <x v="1"/>
    <x v="22"/>
    <x v="24"/>
    <x v="0"/>
    <x v="6"/>
    <x v="1"/>
    <x v="0"/>
    <x v="0"/>
  </r>
  <r>
    <x v="53"/>
    <x v="147"/>
    <x v="0"/>
    <x v="13"/>
    <x v="3"/>
    <x v="2"/>
    <x v="2"/>
    <x v="0"/>
    <x v="0"/>
    <x v="12"/>
    <x v="1"/>
    <x v="104"/>
    <x v="8"/>
    <x v="4"/>
    <x v="3"/>
    <x v="2"/>
    <x v="0"/>
    <x v="11"/>
  </r>
  <r>
    <x v="54"/>
    <x v="79"/>
    <x v="2"/>
    <x v="0"/>
    <x v="1"/>
    <x v="2"/>
    <x v="1"/>
    <x v="13"/>
    <x v="0"/>
    <x v="5"/>
    <x v="0"/>
    <x v="38"/>
    <x v="29"/>
    <x v="2"/>
    <x v="1"/>
    <x v="1"/>
    <x v="0"/>
    <x v="8"/>
  </r>
  <r>
    <x v="55"/>
    <x v="125"/>
    <x v="5"/>
    <x v="16"/>
    <x v="4"/>
    <x v="0"/>
    <x v="1"/>
    <x v="3"/>
    <x v="0"/>
    <x v="3"/>
    <x v="3"/>
    <x v="16"/>
    <x v="18"/>
    <x v="2"/>
    <x v="1"/>
    <x v="1"/>
    <x v="0"/>
    <x v="5"/>
  </r>
  <r>
    <x v="56"/>
    <x v="98"/>
    <x v="5"/>
    <x v="13"/>
    <x v="3"/>
    <x v="2"/>
    <x v="0"/>
    <x v="12"/>
    <x v="1"/>
    <x v="1"/>
    <x v="0"/>
    <x v="17"/>
    <x v="36"/>
    <x v="3"/>
    <x v="3"/>
    <x v="1"/>
    <x v="1"/>
    <x v="6"/>
  </r>
  <r>
    <x v="57"/>
    <x v="142"/>
    <x v="8"/>
    <x v="2"/>
    <x v="5"/>
    <x v="1"/>
    <x v="0"/>
    <x v="14"/>
    <x v="0"/>
    <x v="0"/>
    <x v="2"/>
    <x v="1"/>
    <x v="27"/>
    <x v="1"/>
    <x v="6"/>
    <x v="1"/>
    <x v="0"/>
    <x v="1"/>
  </r>
  <r>
    <x v="58"/>
    <x v="43"/>
    <x v="1"/>
    <x v="0"/>
    <x v="1"/>
    <x v="2"/>
    <x v="4"/>
    <x v="10"/>
    <x v="1"/>
    <x v="7"/>
    <x v="0"/>
    <x v="86"/>
    <x v="83"/>
    <x v="1"/>
    <x v="7"/>
    <x v="1"/>
    <x v="1"/>
    <x v="7"/>
  </r>
  <r>
    <x v="59"/>
    <x v="104"/>
    <x v="5"/>
    <x v="6"/>
    <x v="4"/>
    <x v="0"/>
    <x v="4"/>
    <x v="10"/>
    <x v="1"/>
    <x v="7"/>
    <x v="0"/>
    <x v="86"/>
    <x v="83"/>
    <x v="4"/>
    <x v="2"/>
    <x v="1"/>
    <x v="1"/>
    <x v="6"/>
  </r>
  <r>
    <x v="60"/>
    <x v="150"/>
    <x v="6"/>
    <x v="12"/>
    <x v="0"/>
    <x v="0"/>
    <x v="2"/>
    <x v="0"/>
    <x v="1"/>
    <x v="12"/>
    <x v="0"/>
    <x v="135"/>
    <x v="120"/>
    <x v="2"/>
    <x v="0"/>
    <x v="0"/>
    <x v="1"/>
    <x v="11"/>
  </r>
  <r>
    <x v="61"/>
    <x v="160"/>
    <x v="7"/>
    <x v="12"/>
    <x v="0"/>
    <x v="0"/>
    <x v="3"/>
    <x v="9"/>
    <x v="0"/>
    <x v="9"/>
    <x v="0"/>
    <x v="78"/>
    <x v="29"/>
    <x v="1"/>
    <x v="0"/>
    <x v="1"/>
    <x v="0"/>
    <x v="10"/>
  </r>
  <r>
    <x v="62"/>
    <x v="121"/>
    <x v="2"/>
    <x v="12"/>
    <x v="0"/>
    <x v="0"/>
    <x v="2"/>
    <x v="0"/>
    <x v="2"/>
    <x v="12"/>
    <x v="1"/>
    <x v="143"/>
    <x v="137"/>
    <x v="1"/>
    <x v="3"/>
    <x v="0"/>
    <x v="1"/>
    <x v="5"/>
  </r>
  <r>
    <x v="63"/>
    <x v="77"/>
    <x v="2"/>
    <x v="4"/>
    <x v="0"/>
    <x v="0"/>
    <x v="1"/>
    <x v="13"/>
    <x v="3"/>
    <x v="5"/>
    <x v="2"/>
    <x v="72"/>
    <x v="78"/>
    <x v="3"/>
    <x v="0"/>
    <x v="1"/>
    <x v="1"/>
    <x v="8"/>
  </r>
  <r>
    <x v="64"/>
    <x v="169"/>
    <x v="5"/>
    <x v="13"/>
    <x v="3"/>
    <x v="2"/>
    <x v="0"/>
    <x v="14"/>
    <x v="1"/>
    <x v="0"/>
    <x v="0"/>
    <x v="12"/>
    <x v="33"/>
    <x v="0"/>
    <x v="6"/>
    <x v="1"/>
    <x v="1"/>
    <x v="10"/>
  </r>
  <r>
    <x v="65"/>
    <x v="138"/>
    <x v="4"/>
    <x v="7"/>
    <x v="5"/>
    <x v="1"/>
    <x v="2"/>
    <x v="6"/>
    <x v="2"/>
    <x v="13"/>
    <x v="0"/>
    <x v="148"/>
    <x v="141"/>
    <x v="4"/>
    <x v="3"/>
    <x v="0"/>
    <x v="1"/>
    <x v="1"/>
  </r>
  <r>
    <x v="66"/>
    <x v="196"/>
    <x v="4"/>
    <x v="17"/>
    <x v="1"/>
    <x v="2"/>
    <x v="4"/>
    <x v="2"/>
    <x v="1"/>
    <x v="9"/>
    <x v="3"/>
    <x v="88"/>
    <x v="84"/>
    <x v="1"/>
    <x v="3"/>
    <x v="2"/>
    <x v="1"/>
    <x v="2"/>
  </r>
  <r>
    <x v="67"/>
    <x v="142"/>
    <x v="7"/>
    <x v="17"/>
    <x v="1"/>
    <x v="2"/>
    <x v="3"/>
    <x v="9"/>
    <x v="1"/>
    <x v="9"/>
    <x v="0"/>
    <x v="95"/>
    <x v="90"/>
    <x v="3"/>
    <x v="6"/>
    <x v="2"/>
    <x v="1"/>
    <x v="1"/>
  </r>
  <r>
    <x v="68"/>
    <x v="52"/>
    <x v="9"/>
    <x v="5"/>
    <x v="4"/>
    <x v="0"/>
    <x v="1"/>
    <x v="3"/>
    <x v="1"/>
    <x v="3"/>
    <x v="2"/>
    <x v="41"/>
    <x v="45"/>
    <x v="0"/>
    <x v="6"/>
    <x v="1"/>
    <x v="1"/>
    <x v="7"/>
  </r>
  <r>
    <x v="69"/>
    <x v="51"/>
    <x v="8"/>
    <x v="9"/>
    <x v="3"/>
    <x v="2"/>
    <x v="2"/>
    <x v="4"/>
    <x v="2"/>
    <x v="14"/>
    <x v="0"/>
    <x v="150"/>
    <x v="142"/>
    <x v="0"/>
    <x v="4"/>
    <x v="0"/>
    <x v="1"/>
    <x v="7"/>
  </r>
  <r>
    <x v="70"/>
    <x v="34"/>
    <x v="2"/>
    <x v="14"/>
    <x v="0"/>
    <x v="0"/>
    <x v="3"/>
    <x v="8"/>
    <x v="2"/>
    <x v="11"/>
    <x v="1"/>
    <x v="125"/>
    <x v="122"/>
    <x v="2"/>
    <x v="4"/>
    <x v="2"/>
    <x v="1"/>
    <x v="3"/>
  </r>
  <r>
    <x v="71"/>
    <x v="78"/>
    <x v="8"/>
    <x v="16"/>
    <x v="4"/>
    <x v="0"/>
    <x v="1"/>
    <x v="1"/>
    <x v="1"/>
    <x v="4"/>
    <x v="2"/>
    <x v="47"/>
    <x v="50"/>
    <x v="4"/>
    <x v="0"/>
    <x v="1"/>
    <x v="1"/>
    <x v="8"/>
  </r>
  <r>
    <x v="72"/>
    <x v="1"/>
    <x v="0"/>
    <x v="15"/>
    <x v="1"/>
    <x v="2"/>
    <x v="1"/>
    <x v="3"/>
    <x v="3"/>
    <x v="3"/>
    <x v="0"/>
    <x v="59"/>
    <x v="72"/>
    <x v="3"/>
    <x v="6"/>
    <x v="1"/>
    <x v="1"/>
    <x v="4"/>
  </r>
  <r>
    <x v="73"/>
    <x v="74"/>
    <x v="6"/>
    <x v="8"/>
    <x v="2"/>
    <x v="1"/>
    <x v="3"/>
    <x v="8"/>
    <x v="1"/>
    <x v="11"/>
    <x v="3"/>
    <x v="103"/>
    <x v="88"/>
    <x v="3"/>
    <x v="6"/>
    <x v="2"/>
    <x v="1"/>
    <x v="0"/>
  </r>
  <r>
    <x v="74"/>
    <x v="103"/>
    <x v="8"/>
    <x v="0"/>
    <x v="1"/>
    <x v="2"/>
    <x v="3"/>
    <x v="9"/>
    <x v="0"/>
    <x v="9"/>
    <x v="0"/>
    <x v="78"/>
    <x v="29"/>
    <x v="3"/>
    <x v="2"/>
    <x v="1"/>
    <x v="0"/>
    <x v="6"/>
  </r>
  <r>
    <x v="75"/>
    <x v="48"/>
    <x v="0"/>
    <x v="10"/>
    <x v="2"/>
    <x v="1"/>
    <x v="4"/>
    <x v="2"/>
    <x v="1"/>
    <x v="9"/>
    <x v="0"/>
    <x v="95"/>
    <x v="90"/>
    <x v="3"/>
    <x v="1"/>
    <x v="2"/>
    <x v="1"/>
    <x v="7"/>
  </r>
  <r>
    <x v="76"/>
    <x v="80"/>
    <x v="1"/>
    <x v="8"/>
    <x v="2"/>
    <x v="1"/>
    <x v="4"/>
    <x v="2"/>
    <x v="1"/>
    <x v="9"/>
    <x v="3"/>
    <x v="88"/>
    <x v="84"/>
    <x v="1"/>
    <x v="6"/>
    <x v="2"/>
    <x v="1"/>
    <x v="8"/>
  </r>
  <r>
    <x v="77"/>
    <x v="184"/>
    <x v="6"/>
    <x v="3"/>
    <x v="5"/>
    <x v="1"/>
    <x v="3"/>
    <x v="9"/>
    <x v="0"/>
    <x v="9"/>
    <x v="1"/>
    <x v="76"/>
    <x v="13"/>
    <x v="2"/>
    <x v="1"/>
    <x v="1"/>
    <x v="0"/>
    <x v="9"/>
  </r>
  <r>
    <x v="78"/>
    <x v="155"/>
    <x v="2"/>
    <x v="2"/>
    <x v="5"/>
    <x v="1"/>
    <x v="3"/>
    <x v="8"/>
    <x v="0"/>
    <x v="11"/>
    <x v="2"/>
    <x v="83"/>
    <x v="7"/>
    <x v="2"/>
    <x v="2"/>
    <x v="1"/>
    <x v="0"/>
    <x v="11"/>
  </r>
  <r>
    <x v="79"/>
    <x v="180"/>
    <x v="3"/>
    <x v="3"/>
    <x v="5"/>
    <x v="1"/>
    <x v="4"/>
    <x v="10"/>
    <x v="3"/>
    <x v="7"/>
    <x v="0"/>
    <x v="113"/>
    <x v="113"/>
    <x v="0"/>
    <x v="4"/>
    <x v="2"/>
    <x v="1"/>
    <x v="9"/>
  </r>
  <r>
    <x v="80"/>
    <x v="147"/>
    <x v="7"/>
    <x v="0"/>
    <x v="1"/>
    <x v="2"/>
    <x v="0"/>
    <x v="5"/>
    <x v="1"/>
    <x v="2"/>
    <x v="1"/>
    <x v="26"/>
    <x v="37"/>
    <x v="4"/>
    <x v="5"/>
    <x v="1"/>
    <x v="1"/>
    <x v="11"/>
  </r>
  <r>
    <x v="81"/>
    <x v="36"/>
    <x v="8"/>
    <x v="5"/>
    <x v="4"/>
    <x v="0"/>
    <x v="4"/>
    <x v="10"/>
    <x v="2"/>
    <x v="7"/>
    <x v="2"/>
    <x v="91"/>
    <x v="95"/>
    <x v="3"/>
    <x v="0"/>
    <x v="2"/>
    <x v="1"/>
    <x v="7"/>
  </r>
  <r>
    <x v="82"/>
    <x v="0"/>
    <x v="5"/>
    <x v="15"/>
    <x v="1"/>
    <x v="2"/>
    <x v="0"/>
    <x v="5"/>
    <x v="3"/>
    <x v="2"/>
    <x v="2"/>
    <x v="44"/>
    <x v="59"/>
    <x v="3"/>
    <x v="7"/>
    <x v="1"/>
    <x v="1"/>
    <x v="4"/>
  </r>
  <r>
    <x v="83"/>
    <x v="92"/>
    <x v="0"/>
    <x v="12"/>
    <x v="0"/>
    <x v="0"/>
    <x v="3"/>
    <x v="11"/>
    <x v="2"/>
    <x v="10"/>
    <x v="0"/>
    <x v="121"/>
    <x v="116"/>
    <x v="3"/>
    <x v="3"/>
    <x v="2"/>
    <x v="1"/>
    <x v="8"/>
  </r>
  <r>
    <x v="84"/>
    <x v="41"/>
    <x v="3"/>
    <x v="10"/>
    <x v="2"/>
    <x v="1"/>
    <x v="2"/>
    <x v="0"/>
    <x v="1"/>
    <x v="12"/>
    <x v="2"/>
    <x v="130"/>
    <x v="110"/>
    <x v="3"/>
    <x v="3"/>
    <x v="2"/>
    <x v="1"/>
    <x v="7"/>
  </r>
  <r>
    <x v="85"/>
    <x v="11"/>
    <x v="0"/>
    <x v="17"/>
    <x v="1"/>
    <x v="2"/>
    <x v="2"/>
    <x v="4"/>
    <x v="1"/>
    <x v="14"/>
    <x v="3"/>
    <x v="134"/>
    <x v="112"/>
    <x v="4"/>
    <x v="4"/>
    <x v="0"/>
    <x v="1"/>
    <x v="4"/>
  </r>
  <r>
    <x v="86"/>
    <x v="75"/>
    <x v="1"/>
    <x v="1"/>
    <x v="2"/>
    <x v="1"/>
    <x v="4"/>
    <x v="10"/>
    <x v="2"/>
    <x v="7"/>
    <x v="0"/>
    <x v="97"/>
    <x v="97"/>
    <x v="4"/>
    <x v="1"/>
    <x v="2"/>
    <x v="1"/>
    <x v="0"/>
  </r>
  <r>
    <x v="87"/>
    <x v="83"/>
    <x v="8"/>
    <x v="11"/>
    <x v="3"/>
    <x v="2"/>
    <x v="2"/>
    <x v="4"/>
    <x v="2"/>
    <x v="14"/>
    <x v="0"/>
    <x v="150"/>
    <x v="142"/>
    <x v="3"/>
    <x v="4"/>
    <x v="0"/>
    <x v="1"/>
    <x v="8"/>
  </r>
  <r>
    <x v="88"/>
    <x v="106"/>
    <x v="8"/>
    <x v="1"/>
    <x v="2"/>
    <x v="1"/>
    <x v="3"/>
    <x v="11"/>
    <x v="3"/>
    <x v="10"/>
    <x v="0"/>
    <x v="131"/>
    <x v="132"/>
    <x v="3"/>
    <x v="0"/>
    <x v="2"/>
    <x v="1"/>
    <x v="6"/>
  </r>
  <r>
    <x v="89"/>
    <x v="70"/>
    <x v="9"/>
    <x v="14"/>
    <x v="0"/>
    <x v="0"/>
    <x v="2"/>
    <x v="4"/>
    <x v="1"/>
    <x v="14"/>
    <x v="2"/>
    <x v="137"/>
    <x v="117"/>
    <x v="3"/>
    <x v="7"/>
    <x v="0"/>
    <x v="1"/>
    <x v="0"/>
  </r>
  <r>
    <x v="90"/>
    <x v="30"/>
    <x v="6"/>
    <x v="9"/>
    <x v="3"/>
    <x v="2"/>
    <x v="0"/>
    <x v="14"/>
    <x v="1"/>
    <x v="0"/>
    <x v="1"/>
    <x v="11"/>
    <x v="31"/>
    <x v="4"/>
    <x v="2"/>
    <x v="1"/>
    <x v="1"/>
    <x v="3"/>
  </r>
  <r>
    <x v="91"/>
    <x v="73"/>
    <x v="4"/>
    <x v="9"/>
    <x v="3"/>
    <x v="2"/>
    <x v="3"/>
    <x v="8"/>
    <x v="0"/>
    <x v="11"/>
    <x v="0"/>
    <x v="86"/>
    <x v="29"/>
    <x v="2"/>
    <x v="3"/>
    <x v="1"/>
    <x v="0"/>
    <x v="0"/>
  </r>
  <r>
    <x v="92"/>
    <x v="124"/>
    <x v="9"/>
    <x v="5"/>
    <x v="4"/>
    <x v="0"/>
    <x v="3"/>
    <x v="9"/>
    <x v="0"/>
    <x v="9"/>
    <x v="0"/>
    <x v="78"/>
    <x v="29"/>
    <x v="3"/>
    <x v="3"/>
    <x v="1"/>
    <x v="0"/>
    <x v="5"/>
  </r>
  <r>
    <x v="93"/>
    <x v="113"/>
    <x v="3"/>
    <x v="5"/>
    <x v="4"/>
    <x v="0"/>
    <x v="3"/>
    <x v="9"/>
    <x v="0"/>
    <x v="9"/>
    <x v="1"/>
    <x v="76"/>
    <x v="13"/>
    <x v="3"/>
    <x v="6"/>
    <x v="1"/>
    <x v="0"/>
    <x v="5"/>
  </r>
  <r>
    <x v="94"/>
    <x v="77"/>
    <x v="5"/>
    <x v="0"/>
    <x v="1"/>
    <x v="2"/>
    <x v="4"/>
    <x v="10"/>
    <x v="0"/>
    <x v="7"/>
    <x v="2"/>
    <x v="67"/>
    <x v="11"/>
    <x v="4"/>
    <x v="2"/>
    <x v="1"/>
    <x v="0"/>
    <x v="8"/>
  </r>
  <r>
    <x v="95"/>
    <x v="96"/>
    <x v="2"/>
    <x v="2"/>
    <x v="5"/>
    <x v="1"/>
    <x v="2"/>
    <x v="4"/>
    <x v="0"/>
    <x v="14"/>
    <x v="1"/>
    <x v="112"/>
    <x v="6"/>
    <x v="1"/>
    <x v="6"/>
    <x v="2"/>
    <x v="0"/>
    <x v="6"/>
  </r>
  <r>
    <x v="96"/>
    <x v="167"/>
    <x v="3"/>
    <x v="10"/>
    <x v="2"/>
    <x v="1"/>
    <x v="4"/>
    <x v="7"/>
    <x v="2"/>
    <x v="6"/>
    <x v="3"/>
    <x v="87"/>
    <x v="89"/>
    <x v="4"/>
    <x v="3"/>
    <x v="2"/>
    <x v="1"/>
    <x v="10"/>
  </r>
  <r>
    <x v="97"/>
    <x v="42"/>
    <x v="8"/>
    <x v="1"/>
    <x v="2"/>
    <x v="1"/>
    <x v="4"/>
    <x v="2"/>
    <x v="2"/>
    <x v="9"/>
    <x v="2"/>
    <x v="111"/>
    <x v="102"/>
    <x v="3"/>
    <x v="3"/>
    <x v="2"/>
    <x v="1"/>
    <x v="7"/>
  </r>
  <r>
    <x v="98"/>
    <x v="51"/>
    <x v="1"/>
    <x v="0"/>
    <x v="1"/>
    <x v="2"/>
    <x v="1"/>
    <x v="13"/>
    <x v="1"/>
    <x v="5"/>
    <x v="2"/>
    <x v="51"/>
    <x v="58"/>
    <x v="2"/>
    <x v="1"/>
    <x v="1"/>
    <x v="1"/>
    <x v="7"/>
  </r>
  <r>
    <x v="99"/>
    <x v="24"/>
    <x v="8"/>
    <x v="4"/>
    <x v="0"/>
    <x v="0"/>
    <x v="3"/>
    <x v="8"/>
    <x v="2"/>
    <x v="11"/>
    <x v="2"/>
    <x v="123"/>
    <x v="118"/>
    <x v="2"/>
    <x v="2"/>
    <x v="2"/>
    <x v="1"/>
    <x v="3"/>
  </r>
  <r>
    <x v="100"/>
    <x v="118"/>
    <x v="1"/>
    <x v="3"/>
    <x v="5"/>
    <x v="1"/>
    <x v="2"/>
    <x v="0"/>
    <x v="2"/>
    <x v="12"/>
    <x v="1"/>
    <x v="143"/>
    <x v="137"/>
    <x v="1"/>
    <x v="5"/>
    <x v="0"/>
    <x v="1"/>
    <x v="5"/>
  </r>
  <r>
    <x v="101"/>
    <x v="138"/>
    <x v="0"/>
    <x v="2"/>
    <x v="5"/>
    <x v="1"/>
    <x v="0"/>
    <x v="14"/>
    <x v="0"/>
    <x v="0"/>
    <x v="3"/>
    <x v="0"/>
    <x v="25"/>
    <x v="2"/>
    <x v="6"/>
    <x v="1"/>
    <x v="0"/>
    <x v="1"/>
  </r>
  <r>
    <x v="102"/>
    <x v="67"/>
    <x v="6"/>
    <x v="2"/>
    <x v="5"/>
    <x v="1"/>
    <x v="2"/>
    <x v="4"/>
    <x v="0"/>
    <x v="14"/>
    <x v="0"/>
    <x v="116"/>
    <x v="29"/>
    <x v="3"/>
    <x v="1"/>
    <x v="2"/>
    <x v="0"/>
    <x v="0"/>
  </r>
  <r>
    <x v="103"/>
    <x v="164"/>
    <x v="9"/>
    <x v="4"/>
    <x v="0"/>
    <x v="0"/>
    <x v="2"/>
    <x v="0"/>
    <x v="3"/>
    <x v="12"/>
    <x v="0"/>
    <x v="151"/>
    <x v="145"/>
    <x v="2"/>
    <x v="0"/>
    <x v="0"/>
    <x v="1"/>
    <x v="10"/>
  </r>
  <r>
    <x v="104"/>
    <x v="192"/>
    <x v="2"/>
    <x v="4"/>
    <x v="0"/>
    <x v="0"/>
    <x v="3"/>
    <x v="9"/>
    <x v="0"/>
    <x v="9"/>
    <x v="0"/>
    <x v="78"/>
    <x v="29"/>
    <x v="3"/>
    <x v="1"/>
    <x v="1"/>
    <x v="0"/>
    <x v="9"/>
  </r>
  <r>
    <x v="105"/>
    <x v="203"/>
    <x v="7"/>
    <x v="7"/>
    <x v="5"/>
    <x v="1"/>
    <x v="1"/>
    <x v="13"/>
    <x v="3"/>
    <x v="5"/>
    <x v="0"/>
    <x v="75"/>
    <x v="82"/>
    <x v="0"/>
    <x v="6"/>
    <x v="1"/>
    <x v="1"/>
    <x v="2"/>
  </r>
  <r>
    <x v="106"/>
    <x v="149"/>
    <x v="7"/>
    <x v="3"/>
    <x v="5"/>
    <x v="1"/>
    <x v="3"/>
    <x v="11"/>
    <x v="1"/>
    <x v="10"/>
    <x v="2"/>
    <x v="96"/>
    <x v="87"/>
    <x v="2"/>
    <x v="2"/>
    <x v="2"/>
    <x v="1"/>
    <x v="11"/>
  </r>
  <r>
    <x v="107"/>
    <x v="195"/>
    <x v="8"/>
    <x v="16"/>
    <x v="4"/>
    <x v="0"/>
    <x v="3"/>
    <x v="8"/>
    <x v="2"/>
    <x v="11"/>
    <x v="0"/>
    <x v="128"/>
    <x v="126"/>
    <x v="2"/>
    <x v="5"/>
    <x v="2"/>
    <x v="1"/>
    <x v="2"/>
  </r>
  <r>
    <x v="108"/>
    <x v="53"/>
    <x v="7"/>
    <x v="0"/>
    <x v="1"/>
    <x v="2"/>
    <x v="1"/>
    <x v="1"/>
    <x v="3"/>
    <x v="4"/>
    <x v="2"/>
    <x v="61"/>
    <x v="70"/>
    <x v="2"/>
    <x v="6"/>
    <x v="1"/>
    <x v="1"/>
    <x v="7"/>
  </r>
  <r>
    <x v="109"/>
    <x v="157"/>
    <x v="6"/>
    <x v="8"/>
    <x v="2"/>
    <x v="1"/>
    <x v="4"/>
    <x v="7"/>
    <x v="1"/>
    <x v="6"/>
    <x v="0"/>
    <x v="84"/>
    <x v="82"/>
    <x v="4"/>
    <x v="5"/>
    <x v="1"/>
    <x v="1"/>
    <x v="11"/>
  </r>
  <r>
    <x v="110"/>
    <x v="93"/>
    <x v="3"/>
    <x v="13"/>
    <x v="3"/>
    <x v="2"/>
    <x v="4"/>
    <x v="2"/>
    <x v="3"/>
    <x v="9"/>
    <x v="3"/>
    <x v="120"/>
    <x v="119"/>
    <x v="4"/>
    <x v="4"/>
    <x v="2"/>
    <x v="1"/>
    <x v="6"/>
  </r>
  <r>
    <x v="111"/>
    <x v="134"/>
    <x v="6"/>
    <x v="17"/>
    <x v="1"/>
    <x v="2"/>
    <x v="2"/>
    <x v="0"/>
    <x v="3"/>
    <x v="12"/>
    <x v="3"/>
    <x v="149"/>
    <x v="143"/>
    <x v="1"/>
    <x v="2"/>
    <x v="0"/>
    <x v="1"/>
    <x v="1"/>
  </r>
  <r>
    <x v="112"/>
    <x v="64"/>
    <x v="2"/>
    <x v="9"/>
    <x v="3"/>
    <x v="2"/>
    <x v="0"/>
    <x v="5"/>
    <x v="2"/>
    <x v="2"/>
    <x v="0"/>
    <x v="38"/>
    <x v="55"/>
    <x v="0"/>
    <x v="6"/>
    <x v="1"/>
    <x v="1"/>
    <x v="0"/>
  </r>
  <r>
    <x v="113"/>
    <x v="33"/>
    <x v="0"/>
    <x v="7"/>
    <x v="5"/>
    <x v="1"/>
    <x v="0"/>
    <x v="5"/>
    <x v="1"/>
    <x v="2"/>
    <x v="2"/>
    <x v="23"/>
    <x v="36"/>
    <x v="2"/>
    <x v="0"/>
    <x v="1"/>
    <x v="1"/>
    <x v="3"/>
  </r>
  <r>
    <x v="114"/>
    <x v="201"/>
    <x v="7"/>
    <x v="15"/>
    <x v="1"/>
    <x v="2"/>
    <x v="0"/>
    <x v="14"/>
    <x v="1"/>
    <x v="0"/>
    <x v="1"/>
    <x v="11"/>
    <x v="31"/>
    <x v="4"/>
    <x v="3"/>
    <x v="1"/>
    <x v="1"/>
    <x v="2"/>
  </r>
  <r>
    <x v="115"/>
    <x v="103"/>
    <x v="9"/>
    <x v="6"/>
    <x v="4"/>
    <x v="0"/>
    <x v="0"/>
    <x v="5"/>
    <x v="3"/>
    <x v="2"/>
    <x v="2"/>
    <x v="44"/>
    <x v="59"/>
    <x v="2"/>
    <x v="1"/>
    <x v="1"/>
    <x v="1"/>
    <x v="6"/>
  </r>
  <r>
    <x v="116"/>
    <x v="100"/>
    <x v="8"/>
    <x v="15"/>
    <x v="1"/>
    <x v="2"/>
    <x v="0"/>
    <x v="5"/>
    <x v="1"/>
    <x v="2"/>
    <x v="2"/>
    <x v="23"/>
    <x v="36"/>
    <x v="4"/>
    <x v="7"/>
    <x v="1"/>
    <x v="1"/>
    <x v="6"/>
  </r>
  <r>
    <x v="117"/>
    <x v="50"/>
    <x v="2"/>
    <x v="15"/>
    <x v="1"/>
    <x v="2"/>
    <x v="3"/>
    <x v="9"/>
    <x v="0"/>
    <x v="9"/>
    <x v="0"/>
    <x v="78"/>
    <x v="29"/>
    <x v="1"/>
    <x v="4"/>
    <x v="1"/>
    <x v="0"/>
    <x v="7"/>
  </r>
  <r>
    <x v="118"/>
    <x v="71"/>
    <x v="3"/>
    <x v="9"/>
    <x v="3"/>
    <x v="2"/>
    <x v="4"/>
    <x v="7"/>
    <x v="1"/>
    <x v="6"/>
    <x v="2"/>
    <x v="81"/>
    <x v="77"/>
    <x v="4"/>
    <x v="1"/>
    <x v="1"/>
    <x v="1"/>
    <x v="0"/>
  </r>
  <r>
    <x v="119"/>
    <x v="89"/>
    <x v="5"/>
    <x v="12"/>
    <x v="0"/>
    <x v="0"/>
    <x v="0"/>
    <x v="5"/>
    <x v="1"/>
    <x v="2"/>
    <x v="0"/>
    <x v="28"/>
    <x v="39"/>
    <x v="4"/>
    <x v="6"/>
    <x v="1"/>
    <x v="1"/>
    <x v="8"/>
  </r>
  <r>
    <x v="120"/>
    <x v="176"/>
    <x v="4"/>
    <x v="7"/>
    <x v="5"/>
    <x v="1"/>
    <x v="1"/>
    <x v="3"/>
    <x v="0"/>
    <x v="3"/>
    <x v="0"/>
    <x v="25"/>
    <x v="29"/>
    <x v="3"/>
    <x v="6"/>
    <x v="1"/>
    <x v="0"/>
    <x v="9"/>
  </r>
  <r>
    <x v="121"/>
    <x v="89"/>
    <x v="4"/>
    <x v="3"/>
    <x v="5"/>
    <x v="1"/>
    <x v="4"/>
    <x v="7"/>
    <x v="3"/>
    <x v="6"/>
    <x v="3"/>
    <x v="100"/>
    <x v="98"/>
    <x v="3"/>
    <x v="5"/>
    <x v="2"/>
    <x v="1"/>
    <x v="8"/>
  </r>
  <r>
    <x v="122"/>
    <x v="114"/>
    <x v="2"/>
    <x v="7"/>
    <x v="5"/>
    <x v="1"/>
    <x v="1"/>
    <x v="13"/>
    <x v="0"/>
    <x v="5"/>
    <x v="2"/>
    <x v="35"/>
    <x v="17"/>
    <x v="0"/>
    <x v="4"/>
    <x v="1"/>
    <x v="0"/>
    <x v="5"/>
  </r>
  <r>
    <x v="123"/>
    <x v="72"/>
    <x v="3"/>
    <x v="10"/>
    <x v="2"/>
    <x v="1"/>
    <x v="2"/>
    <x v="0"/>
    <x v="2"/>
    <x v="12"/>
    <x v="1"/>
    <x v="143"/>
    <x v="137"/>
    <x v="0"/>
    <x v="3"/>
    <x v="0"/>
    <x v="1"/>
    <x v="0"/>
  </r>
  <r>
    <x v="124"/>
    <x v="102"/>
    <x v="6"/>
    <x v="10"/>
    <x v="2"/>
    <x v="1"/>
    <x v="1"/>
    <x v="1"/>
    <x v="3"/>
    <x v="4"/>
    <x v="1"/>
    <x v="63"/>
    <x v="73"/>
    <x v="1"/>
    <x v="2"/>
    <x v="1"/>
    <x v="1"/>
    <x v="6"/>
  </r>
  <r>
    <x v="125"/>
    <x v="117"/>
    <x v="2"/>
    <x v="1"/>
    <x v="2"/>
    <x v="1"/>
    <x v="0"/>
    <x v="12"/>
    <x v="3"/>
    <x v="1"/>
    <x v="1"/>
    <x v="39"/>
    <x v="57"/>
    <x v="3"/>
    <x v="3"/>
    <x v="1"/>
    <x v="1"/>
    <x v="5"/>
  </r>
  <r>
    <x v="126"/>
    <x v="42"/>
    <x v="8"/>
    <x v="4"/>
    <x v="0"/>
    <x v="0"/>
    <x v="1"/>
    <x v="1"/>
    <x v="2"/>
    <x v="4"/>
    <x v="2"/>
    <x v="54"/>
    <x v="64"/>
    <x v="2"/>
    <x v="0"/>
    <x v="1"/>
    <x v="1"/>
    <x v="7"/>
  </r>
  <r>
    <x v="127"/>
    <x v="185"/>
    <x v="4"/>
    <x v="12"/>
    <x v="0"/>
    <x v="0"/>
    <x v="1"/>
    <x v="13"/>
    <x v="1"/>
    <x v="5"/>
    <x v="2"/>
    <x v="51"/>
    <x v="58"/>
    <x v="0"/>
    <x v="4"/>
    <x v="1"/>
    <x v="1"/>
    <x v="9"/>
  </r>
  <r>
    <x v="128"/>
    <x v="94"/>
    <x v="7"/>
    <x v="5"/>
    <x v="4"/>
    <x v="0"/>
    <x v="4"/>
    <x v="7"/>
    <x v="0"/>
    <x v="6"/>
    <x v="3"/>
    <x v="60"/>
    <x v="10"/>
    <x v="0"/>
    <x v="0"/>
    <x v="1"/>
    <x v="0"/>
    <x v="6"/>
  </r>
  <r>
    <x v="129"/>
    <x v="196"/>
    <x v="1"/>
    <x v="8"/>
    <x v="2"/>
    <x v="1"/>
    <x v="0"/>
    <x v="12"/>
    <x v="1"/>
    <x v="1"/>
    <x v="3"/>
    <x v="13"/>
    <x v="32"/>
    <x v="2"/>
    <x v="2"/>
    <x v="1"/>
    <x v="1"/>
    <x v="2"/>
  </r>
  <r>
    <x v="130"/>
    <x v="28"/>
    <x v="4"/>
    <x v="15"/>
    <x v="1"/>
    <x v="2"/>
    <x v="2"/>
    <x v="4"/>
    <x v="3"/>
    <x v="14"/>
    <x v="0"/>
    <x v="154"/>
    <x v="147"/>
    <x v="2"/>
    <x v="4"/>
    <x v="0"/>
    <x v="1"/>
    <x v="3"/>
  </r>
  <r>
    <x v="131"/>
    <x v="158"/>
    <x v="1"/>
    <x v="9"/>
    <x v="3"/>
    <x v="2"/>
    <x v="0"/>
    <x v="14"/>
    <x v="2"/>
    <x v="0"/>
    <x v="2"/>
    <x v="18"/>
    <x v="40"/>
    <x v="0"/>
    <x v="6"/>
    <x v="1"/>
    <x v="1"/>
    <x v="11"/>
  </r>
  <r>
    <x v="132"/>
    <x v="28"/>
    <x v="6"/>
    <x v="7"/>
    <x v="5"/>
    <x v="1"/>
    <x v="0"/>
    <x v="12"/>
    <x v="2"/>
    <x v="1"/>
    <x v="0"/>
    <x v="33"/>
    <x v="47"/>
    <x v="2"/>
    <x v="0"/>
    <x v="1"/>
    <x v="1"/>
    <x v="3"/>
  </r>
  <r>
    <x v="133"/>
    <x v="165"/>
    <x v="8"/>
    <x v="4"/>
    <x v="0"/>
    <x v="0"/>
    <x v="4"/>
    <x v="2"/>
    <x v="1"/>
    <x v="9"/>
    <x v="3"/>
    <x v="88"/>
    <x v="84"/>
    <x v="1"/>
    <x v="0"/>
    <x v="2"/>
    <x v="1"/>
    <x v="10"/>
  </r>
  <r>
    <x v="134"/>
    <x v="188"/>
    <x v="2"/>
    <x v="11"/>
    <x v="3"/>
    <x v="2"/>
    <x v="3"/>
    <x v="8"/>
    <x v="0"/>
    <x v="11"/>
    <x v="2"/>
    <x v="83"/>
    <x v="7"/>
    <x v="3"/>
    <x v="4"/>
    <x v="1"/>
    <x v="0"/>
    <x v="9"/>
  </r>
  <r>
    <x v="135"/>
    <x v="16"/>
    <x v="6"/>
    <x v="17"/>
    <x v="1"/>
    <x v="2"/>
    <x v="0"/>
    <x v="5"/>
    <x v="1"/>
    <x v="2"/>
    <x v="3"/>
    <x v="20"/>
    <x v="34"/>
    <x v="1"/>
    <x v="5"/>
    <x v="1"/>
    <x v="1"/>
    <x v="4"/>
  </r>
  <r>
    <x v="136"/>
    <x v="143"/>
    <x v="7"/>
    <x v="16"/>
    <x v="4"/>
    <x v="0"/>
    <x v="2"/>
    <x v="6"/>
    <x v="1"/>
    <x v="13"/>
    <x v="2"/>
    <x v="136"/>
    <x v="114"/>
    <x v="1"/>
    <x v="4"/>
    <x v="0"/>
    <x v="1"/>
    <x v="1"/>
  </r>
  <r>
    <x v="137"/>
    <x v="19"/>
    <x v="5"/>
    <x v="16"/>
    <x v="4"/>
    <x v="0"/>
    <x v="1"/>
    <x v="13"/>
    <x v="2"/>
    <x v="5"/>
    <x v="1"/>
    <x v="66"/>
    <x v="71"/>
    <x v="0"/>
    <x v="1"/>
    <x v="1"/>
    <x v="1"/>
    <x v="4"/>
  </r>
  <r>
    <x v="138"/>
    <x v="172"/>
    <x v="8"/>
    <x v="5"/>
    <x v="4"/>
    <x v="0"/>
    <x v="3"/>
    <x v="11"/>
    <x v="1"/>
    <x v="10"/>
    <x v="1"/>
    <x v="99"/>
    <x v="91"/>
    <x v="3"/>
    <x v="0"/>
    <x v="2"/>
    <x v="1"/>
    <x v="10"/>
  </r>
  <r>
    <x v="139"/>
    <x v="3"/>
    <x v="7"/>
    <x v="17"/>
    <x v="1"/>
    <x v="2"/>
    <x v="1"/>
    <x v="1"/>
    <x v="2"/>
    <x v="4"/>
    <x v="3"/>
    <x v="52"/>
    <x v="63"/>
    <x v="0"/>
    <x v="6"/>
    <x v="1"/>
    <x v="1"/>
    <x v="4"/>
  </r>
  <r>
    <x v="140"/>
    <x v="186"/>
    <x v="0"/>
    <x v="1"/>
    <x v="2"/>
    <x v="1"/>
    <x v="4"/>
    <x v="10"/>
    <x v="3"/>
    <x v="7"/>
    <x v="3"/>
    <x v="103"/>
    <x v="100"/>
    <x v="2"/>
    <x v="7"/>
    <x v="2"/>
    <x v="1"/>
    <x v="9"/>
  </r>
  <r>
    <x v="141"/>
    <x v="100"/>
    <x v="7"/>
    <x v="16"/>
    <x v="4"/>
    <x v="0"/>
    <x v="1"/>
    <x v="3"/>
    <x v="3"/>
    <x v="3"/>
    <x v="3"/>
    <x v="55"/>
    <x v="67"/>
    <x v="3"/>
    <x v="2"/>
    <x v="1"/>
    <x v="1"/>
    <x v="6"/>
  </r>
  <r>
    <x v="142"/>
    <x v="116"/>
    <x v="7"/>
    <x v="15"/>
    <x v="1"/>
    <x v="2"/>
    <x v="1"/>
    <x v="3"/>
    <x v="2"/>
    <x v="3"/>
    <x v="0"/>
    <x v="53"/>
    <x v="65"/>
    <x v="0"/>
    <x v="2"/>
    <x v="1"/>
    <x v="1"/>
    <x v="5"/>
  </r>
  <r>
    <x v="143"/>
    <x v="182"/>
    <x v="3"/>
    <x v="12"/>
    <x v="0"/>
    <x v="0"/>
    <x v="2"/>
    <x v="4"/>
    <x v="1"/>
    <x v="14"/>
    <x v="1"/>
    <x v="139"/>
    <x v="124"/>
    <x v="1"/>
    <x v="1"/>
    <x v="0"/>
    <x v="1"/>
    <x v="9"/>
  </r>
  <r>
    <x v="144"/>
    <x v="37"/>
    <x v="5"/>
    <x v="8"/>
    <x v="2"/>
    <x v="1"/>
    <x v="1"/>
    <x v="3"/>
    <x v="2"/>
    <x v="3"/>
    <x v="2"/>
    <x v="50"/>
    <x v="62"/>
    <x v="0"/>
    <x v="1"/>
    <x v="1"/>
    <x v="1"/>
    <x v="7"/>
  </r>
  <r>
    <x v="145"/>
    <x v="98"/>
    <x v="1"/>
    <x v="5"/>
    <x v="4"/>
    <x v="0"/>
    <x v="3"/>
    <x v="8"/>
    <x v="0"/>
    <x v="11"/>
    <x v="0"/>
    <x v="86"/>
    <x v="29"/>
    <x v="2"/>
    <x v="3"/>
    <x v="1"/>
    <x v="0"/>
    <x v="6"/>
  </r>
  <r>
    <x v="146"/>
    <x v="3"/>
    <x v="3"/>
    <x v="3"/>
    <x v="5"/>
    <x v="1"/>
    <x v="1"/>
    <x v="1"/>
    <x v="1"/>
    <x v="4"/>
    <x v="1"/>
    <x v="49"/>
    <x v="54"/>
    <x v="3"/>
    <x v="1"/>
    <x v="1"/>
    <x v="1"/>
    <x v="4"/>
  </r>
  <r>
    <x v="147"/>
    <x v="67"/>
    <x v="9"/>
    <x v="15"/>
    <x v="1"/>
    <x v="2"/>
    <x v="0"/>
    <x v="12"/>
    <x v="0"/>
    <x v="1"/>
    <x v="3"/>
    <x v="3"/>
    <x v="22"/>
    <x v="4"/>
    <x v="7"/>
    <x v="1"/>
    <x v="0"/>
    <x v="0"/>
  </r>
  <r>
    <x v="148"/>
    <x v="152"/>
    <x v="8"/>
    <x v="16"/>
    <x v="4"/>
    <x v="0"/>
    <x v="1"/>
    <x v="13"/>
    <x v="3"/>
    <x v="5"/>
    <x v="3"/>
    <x v="71"/>
    <x v="77"/>
    <x v="4"/>
    <x v="2"/>
    <x v="1"/>
    <x v="1"/>
    <x v="11"/>
  </r>
  <r>
    <x v="149"/>
    <x v="147"/>
    <x v="9"/>
    <x v="17"/>
    <x v="1"/>
    <x v="2"/>
    <x v="2"/>
    <x v="4"/>
    <x v="2"/>
    <x v="14"/>
    <x v="2"/>
    <x v="147"/>
    <x v="139"/>
    <x v="3"/>
    <x v="4"/>
    <x v="0"/>
    <x v="1"/>
    <x v="11"/>
  </r>
  <r>
    <x v="150"/>
    <x v="135"/>
    <x v="9"/>
    <x v="5"/>
    <x v="4"/>
    <x v="0"/>
    <x v="2"/>
    <x v="0"/>
    <x v="0"/>
    <x v="12"/>
    <x v="1"/>
    <x v="104"/>
    <x v="8"/>
    <x v="3"/>
    <x v="2"/>
    <x v="2"/>
    <x v="0"/>
    <x v="1"/>
  </r>
  <r>
    <x v="151"/>
    <x v="88"/>
    <x v="5"/>
    <x v="9"/>
    <x v="3"/>
    <x v="2"/>
    <x v="4"/>
    <x v="2"/>
    <x v="3"/>
    <x v="9"/>
    <x v="2"/>
    <x v="122"/>
    <x v="123"/>
    <x v="1"/>
    <x v="7"/>
    <x v="2"/>
    <x v="1"/>
    <x v="8"/>
  </r>
  <r>
    <x v="152"/>
    <x v="148"/>
    <x v="5"/>
    <x v="8"/>
    <x v="2"/>
    <x v="1"/>
    <x v="0"/>
    <x v="5"/>
    <x v="1"/>
    <x v="2"/>
    <x v="3"/>
    <x v="20"/>
    <x v="34"/>
    <x v="1"/>
    <x v="0"/>
    <x v="1"/>
    <x v="1"/>
    <x v="11"/>
  </r>
  <r>
    <x v="153"/>
    <x v="106"/>
    <x v="6"/>
    <x v="5"/>
    <x v="4"/>
    <x v="0"/>
    <x v="4"/>
    <x v="7"/>
    <x v="1"/>
    <x v="6"/>
    <x v="3"/>
    <x v="79"/>
    <x v="75"/>
    <x v="3"/>
    <x v="2"/>
    <x v="1"/>
    <x v="1"/>
    <x v="6"/>
  </r>
  <r>
    <x v="154"/>
    <x v="51"/>
    <x v="1"/>
    <x v="2"/>
    <x v="5"/>
    <x v="1"/>
    <x v="1"/>
    <x v="3"/>
    <x v="1"/>
    <x v="3"/>
    <x v="2"/>
    <x v="41"/>
    <x v="45"/>
    <x v="2"/>
    <x v="1"/>
    <x v="1"/>
    <x v="1"/>
    <x v="7"/>
  </r>
  <r>
    <x v="155"/>
    <x v="163"/>
    <x v="1"/>
    <x v="9"/>
    <x v="3"/>
    <x v="2"/>
    <x v="1"/>
    <x v="1"/>
    <x v="2"/>
    <x v="4"/>
    <x v="2"/>
    <x v="54"/>
    <x v="64"/>
    <x v="0"/>
    <x v="7"/>
    <x v="1"/>
    <x v="1"/>
    <x v="10"/>
  </r>
  <r>
    <x v="156"/>
    <x v="0"/>
    <x v="4"/>
    <x v="3"/>
    <x v="5"/>
    <x v="1"/>
    <x v="2"/>
    <x v="4"/>
    <x v="1"/>
    <x v="14"/>
    <x v="0"/>
    <x v="141"/>
    <x v="127"/>
    <x v="3"/>
    <x v="1"/>
    <x v="0"/>
    <x v="1"/>
    <x v="4"/>
  </r>
  <r>
    <x v="157"/>
    <x v="184"/>
    <x v="5"/>
    <x v="13"/>
    <x v="3"/>
    <x v="2"/>
    <x v="3"/>
    <x v="8"/>
    <x v="3"/>
    <x v="11"/>
    <x v="2"/>
    <x v="136"/>
    <x v="133"/>
    <x v="0"/>
    <x v="1"/>
    <x v="0"/>
    <x v="1"/>
    <x v="9"/>
  </r>
  <r>
    <x v="158"/>
    <x v="173"/>
    <x v="0"/>
    <x v="0"/>
    <x v="1"/>
    <x v="2"/>
    <x v="1"/>
    <x v="13"/>
    <x v="2"/>
    <x v="5"/>
    <x v="0"/>
    <x v="68"/>
    <x v="74"/>
    <x v="2"/>
    <x v="6"/>
    <x v="1"/>
    <x v="1"/>
    <x v="9"/>
  </r>
  <r>
    <x v="159"/>
    <x v="140"/>
    <x v="3"/>
    <x v="2"/>
    <x v="5"/>
    <x v="1"/>
    <x v="4"/>
    <x v="10"/>
    <x v="1"/>
    <x v="7"/>
    <x v="0"/>
    <x v="86"/>
    <x v="83"/>
    <x v="2"/>
    <x v="7"/>
    <x v="1"/>
    <x v="1"/>
    <x v="1"/>
  </r>
  <r>
    <x v="160"/>
    <x v="32"/>
    <x v="5"/>
    <x v="16"/>
    <x v="4"/>
    <x v="0"/>
    <x v="3"/>
    <x v="9"/>
    <x v="1"/>
    <x v="9"/>
    <x v="2"/>
    <x v="90"/>
    <x v="85"/>
    <x v="1"/>
    <x v="5"/>
    <x v="2"/>
    <x v="1"/>
    <x v="3"/>
  </r>
  <r>
    <x v="161"/>
    <x v="117"/>
    <x v="3"/>
    <x v="16"/>
    <x v="4"/>
    <x v="0"/>
    <x v="4"/>
    <x v="10"/>
    <x v="0"/>
    <x v="7"/>
    <x v="3"/>
    <x v="64"/>
    <x v="9"/>
    <x v="4"/>
    <x v="1"/>
    <x v="1"/>
    <x v="0"/>
    <x v="5"/>
  </r>
  <r>
    <x v="162"/>
    <x v="8"/>
    <x v="6"/>
    <x v="11"/>
    <x v="3"/>
    <x v="2"/>
    <x v="1"/>
    <x v="3"/>
    <x v="2"/>
    <x v="3"/>
    <x v="0"/>
    <x v="53"/>
    <x v="65"/>
    <x v="1"/>
    <x v="7"/>
    <x v="1"/>
    <x v="1"/>
    <x v="4"/>
  </r>
  <r>
    <x v="163"/>
    <x v="105"/>
    <x v="1"/>
    <x v="13"/>
    <x v="3"/>
    <x v="2"/>
    <x v="1"/>
    <x v="1"/>
    <x v="0"/>
    <x v="4"/>
    <x v="2"/>
    <x v="27"/>
    <x v="19"/>
    <x v="0"/>
    <x v="2"/>
    <x v="1"/>
    <x v="0"/>
    <x v="6"/>
  </r>
  <r>
    <x v="164"/>
    <x v="27"/>
    <x v="2"/>
    <x v="8"/>
    <x v="2"/>
    <x v="1"/>
    <x v="3"/>
    <x v="8"/>
    <x v="0"/>
    <x v="11"/>
    <x v="1"/>
    <x v="85"/>
    <x v="11"/>
    <x v="2"/>
    <x v="2"/>
    <x v="1"/>
    <x v="0"/>
    <x v="3"/>
  </r>
  <r>
    <x v="165"/>
    <x v="75"/>
    <x v="0"/>
    <x v="1"/>
    <x v="2"/>
    <x v="1"/>
    <x v="0"/>
    <x v="5"/>
    <x v="2"/>
    <x v="2"/>
    <x v="1"/>
    <x v="36"/>
    <x v="52"/>
    <x v="3"/>
    <x v="0"/>
    <x v="1"/>
    <x v="1"/>
    <x v="0"/>
  </r>
  <r>
    <x v="166"/>
    <x v="17"/>
    <x v="4"/>
    <x v="0"/>
    <x v="1"/>
    <x v="2"/>
    <x v="0"/>
    <x v="12"/>
    <x v="0"/>
    <x v="1"/>
    <x v="1"/>
    <x v="5"/>
    <x v="28"/>
    <x v="1"/>
    <x v="6"/>
    <x v="1"/>
    <x v="0"/>
    <x v="4"/>
  </r>
  <r>
    <x v="167"/>
    <x v="111"/>
    <x v="6"/>
    <x v="9"/>
    <x v="3"/>
    <x v="2"/>
    <x v="0"/>
    <x v="14"/>
    <x v="0"/>
    <x v="0"/>
    <x v="3"/>
    <x v="0"/>
    <x v="25"/>
    <x v="1"/>
    <x v="1"/>
    <x v="1"/>
    <x v="0"/>
    <x v="5"/>
  </r>
  <r>
    <x v="168"/>
    <x v="87"/>
    <x v="1"/>
    <x v="15"/>
    <x v="1"/>
    <x v="2"/>
    <x v="2"/>
    <x v="4"/>
    <x v="2"/>
    <x v="14"/>
    <x v="0"/>
    <x v="150"/>
    <x v="142"/>
    <x v="2"/>
    <x v="0"/>
    <x v="0"/>
    <x v="1"/>
    <x v="8"/>
  </r>
  <r>
    <x v="169"/>
    <x v="200"/>
    <x v="8"/>
    <x v="3"/>
    <x v="5"/>
    <x v="1"/>
    <x v="0"/>
    <x v="5"/>
    <x v="0"/>
    <x v="2"/>
    <x v="2"/>
    <x v="8"/>
    <x v="23"/>
    <x v="2"/>
    <x v="3"/>
    <x v="1"/>
    <x v="0"/>
    <x v="2"/>
  </r>
  <r>
    <x v="170"/>
    <x v="61"/>
    <x v="0"/>
    <x v="2"/>
    <x v="5"/>
    <x v="1"/>
    <x v="1"/>
    <x v="1"/>
    <x v="3"/>
    <x v="4"/>
    <x v="0"/>
    <x v="65"/>
    <x v="76"/>
    <x v="2"/>
    <x v="3"/>
    <x v="1"/>
    <x v="1"/>
    <x v="0"/>
  </r>
  <r>
    <x v="171"/>
    <x v="26"/>
    <x v="1"/>
    <x v="12"/>
    <x v="0"/>
    <x v="0"/>
    <x v="0"/>
    <x v="14"/>
    <x v="2"/>
    <x v="0"/>
    <x v="0"/>
    <x v="23"/>
    <x v="42"/>
    <x v="1"/>
    <x v="4"/>
    <x v="1"/>
    <x v="1"/>
    <x v="3"/>
  </r>
  <r>
    <x v="172"/>
    <x v="178"/>
    <x v="4"/>
    <x v="7"/>
    <x v="5"/>
    <x v="1"/>
    <x v="0"/>
    <x v="5"/>
    <x v="1"/>
    <x v="2"/>
    <x v="3"/>
    <x v="20"/>
    <x v="34"/>
    <x v="3"/>
    <x v="3"/>
    <x v="1"/>
    <x v="1"/>
    <x v="9"/>
  </r>
  <r>
    <x v="173"/>
    <x v="92"/>
    <x v="0"/>
    <x v="7"/>
    <x v="5"/>
    <x v="1"/>
    <x v="2"/>
    <x v="0"/>
    <x v="2"/>
    <x v="12"/>
    <x v="0"/>
    <x v="145"/>
    <x v="140"/>
    <x v="2"/>
    <x v="2"/>
    <x v="0"/>
    <x v="1"/>
    <x v="8"/>
  </r>
  <r>
    <x v="174"/>
    <x v="115"/>
    <x v="1"/>
    <x v="6"/>
    <x v="4"/>
    <x v="0"/>
    <x v="4"/>
    <x v="10"/>
    <x v="2"/>
    <x v="7"/>
    <x v="3"/>
    <x v="89"/>
    <x v="92"/>
    <x v="0"/>
    <x v="2"/>
    <x v="2"/>
    <x v="1"/>
    <x v="5"/>
  </r>
  <r>
    <x v="175"/>
    <x v="154"/>
    <x v="8"/>
    <x v="8"/>
    <x v="2"/>
    <x v="1"/>
    <x v="3"/>
    <x v="9"/>
    <x v="1"/>
    <x v="9"/>
    <x v="1"/>
    <x v="92"/>
    <x v="86"/>
    <x v="3"/>
    <x v="0"/>
    <x v="2"/>
    <x v="1"/>
    <x v="11"/>
  </r>
  <r>
    <x v="176"/>
    <x v="202"/>
    <x v="0"/>
    <x v="5"/>
    <x v="4"/>
    <x v="0"/>
    <x v="2"/>
    <x v="6"/>
    <x v="2"/>
    <x v="13"/>
    <x v="2"/>
    <x v="146"/>
    <x v="138"/>
    <x v="0"/>
    <x v="7"/>
    <x v="0"/>
    <x v="1"/>
    <x v="2"/>
  </r>
  <r>
    <x v="177"/>
    <x v="142"/>
    <x v="8"/>
    <x v="17"/>
    <x v="1"/>
    <x v="2"/>
    <x v="2"/>
    <x v="6"/>
    <x v="1"/>
    <x v="13"/>
    <x v="0"/>
    <x v="140"/>
    <x v="126"/>
    <x v="1"/>
    <x v="2"/>
    <x v="0"/>
    <x v="1"/>
    <x v="1"/>
  </r>
  <r>
    <x v="178"/>
    <x v="146"/>
    <x v="1"/>
    <x v="15"/>
    <x v="1"/>
    <x v="2"/>
    <x v="4"/>
    <x v="7"/>
    <x v="1"/>
    <x v="6"/>
    <x v="0"/>
    <x v="84"/>
    <x v="82"/>
    <x v="0"/>
    <x v="3"/>
    <x v="1"/>
    <x v="1"/>
    <x v="11"/>
  </r>
  <r>
    <x v="179"/>
    <x v="24"/>
    <x v="4"/>
    <x v="1"/>
    <x v="2"/>
    <x v="1"/>
    <x v="1"/>
    <x v="3"/>
    <x v="3"/>
    <x v="3"/>
    <x v="2"/>
    <x v="57"/>
    <x v="68"/>
    <x v="3"/>
    <x v="3"/>
    <x v="1"/>
    <x v="1"/>
    <x v="3"/>
  </r>
  <r>
    <x v="180"/>
    <x v="193"/>
    <x v="3"/>
    <x v="12"/>
    <x v="0"/>
    <x v="0"/>
    <x v="4"/>
    <x v="7"/>
    <x v="1"/>
    <x v="6"/>
    <x v="3"/>
    <x v="79"/>
    <x v="75"/>
    <x v="2"/>
    <x v="1"/>
    <x v="1"/>
    <x v="1"/>
    <x v="2"/>
  </r>
  <r>
    <x v="181"/>
    <x v="199"/>
    <x v="6"/>
    <x v="11"/>
    <x v="3"/>
    <x v="2"/>
    <x v="2"/>
    <x v="0"/>
    <x v="2"/>
    <x v="12"/>
    <x v="3"/>
    <x v="142"/>
    <x v="134"/>
    <x v="3"/>
    <x v="6"/>
    <x v="0"/>
    <x v="1"/>
    <x v="2"/>
  </r>
  <r>
    <x v="182"/>
    <x v="9"/>
    <x v="5"/>
    <x v="1"/>
    <x v="2"/>
    <x v="1"/>
    <x v="3"/>
    <x v="8"/>
    <x v="3"/>
    <x v="11"/>
    <x v="2"/>
    <x v="136"/>
    <x v="133"/>
    <x v="2"/>
    <x v="1"/>
    <x v="0"/>
    <x v="1"/>
    <x v="4"/>
  </r>
  <r>
    <x v="183"/>
    <x v="148"/>
    <x v="8"/>
    <x v="0"/>
    <x v="1"/>
    <x v="2"/>
    <x v="4"/>
    <x v="10"/>
    <x v="0"/>
    <x v="7"/>
    <x v="0"/>
    <x v="70"/>
    <x v="29"/>
    <x v="3"/>
    <x v="3"/>
    <x v="1"/>
    <x v="0"/>
    <x v="11"/>
  </r>
  <r>
    <x v="184"/>
    <x v="25"/>
    <x v="7"/>
    <x v="9"/>
    <x v="3"/>
    <x v="2"/>
    <x v="3"/>
    <x v="9"/>
    <x v="3"/>
    <x v="9"/>
    <x v="0"/>
    <x v="126"/>
    <x v="129"/>
    <x v="3"/>
    <x v="2"/>
    <x v="2"/>
    <x v="1"/>
    <x v="3"/>
  </r>
  <r>
    <x v="185"/>
    <x v="204"/>
    <x v="1"/>
    <x v="13"/>
    <x v="3"/>
    <x v="2"/>
    <x v="2"/>
    <x v="6"/>
    <x v="1"/>
    <x v="13"/>
    <x v="0"/>
    <x v="140"/>
    <x v="126"/>
    <x v="2"/>
    <x v="2"/>
    <x v="0"/>
    <x v="1"/>
    <x v="2"/>
  </r>
  <r>
    <x v="186"/>
    <x v="66"/>
    <x v="5"/>
    <x v="1"/>
    <x v="2"/>
    <x v="1"/>
    <x v="1"/>
    <x v="3"/>
    <x v="3"/>
    <x v="3"/>
    <x v="0"/>
    <x v="59"/>
    <x v="72"/>
    <x v="0"/>
    <x v="4"/>
    <x v="1"/>
    <x v="1"/>
    <x v="0"/>
  </r>
  <r>
    <x v="187"/>
    <x v="183"/>
    <x v="0"/>
    <x v="11"/>
    <x v="3"/>
    <x v="2"/>
    <x v="4"/>
    <x v="2"/>
    <x v="3"/>
    <x v="9"/>
    <x v="0"/>
    <x v="126"/>
    <x v="129"/>
    <x v="2"/>
    <x v="2"/>
    <x v="2"/>
    <x v="1"/>
    <x v="9"/>
  </r>
  <r>
    <x v="188"/>
    <x v="4"/>
    <x v="7"/>
    <x v="0"/>
    <x v="1"/>
    <x v="2"/>
    <x v="1"/>
    <x v="3"/>
    <x v="1"/>
    <x v="3"/>
    <x v="2"/>
    <x v="41"/>
    <x v="45"/>
    <x v="2"/>
    <x v="7"/>
    <x v="1"/>
    <x v="1"/>
    <x v="4"/>
  </r>
  <r>
    <x v="189"/>
    <x v="126"/>
    <x v="6"/>
    <x v="2"/>
    <x v="5"/>
    <x v="1"/>
    <x v="4"/>
    <x v="7"/>
    <x v="2"/>
    <x v="6"/>
    <x v="0"/>
    <x v="93"/>
    <x v="96"/>
    <x v="1"/>
    <x v="6"/>
    <x v="2"/>
    <x v="1"/>
    <x v="5"/>
  </r>
  <r>
    <x v="190"/>
    <x v="179"/>
    <x v="6"/>
    <x v="6"/>
    <x v="4"/>
    <x v="0"/>
    <x v="2"/>
    <x v="0"/>
    <x v="1"/>
    <x v="12"/>
    <x v="1"/>
    <x v="133"/>
    <x v="115"/>
    <x v="3"/>
    <x v="5"/>
    <x v="2"/>
    <x v="1"/>
    <x v="9"/>
  </r>
  <r>
    <x v="191"/>
    <x v="31"/>
    <x v="2"/>
    <x v="16"/>
    <x v="4"/>
    <x v="0"/>
    <x v="0"/>
    <x v="5"/>
    <x v="3"/>
    <x v="2"/>
    <x v="3"/>
    <x v="42"/>
    <x v="58"/>
    <x v="4"/>
    <x v="7"/>
    <x v="1"/>
    <x v="1"/>
    <x v="3"/>
  </r>
  <r>
    <x v="192"/>
    <x v="205"/>
    <x v="8"/>
    <x v="2"/>
    <x v="5"/>
    <x v="1"/>
    <x v="2"/>
    <x v="0"/>
    <x v="1"/>
    <x v="12"/>
    <x v="3"/>
    <x v="129"/>
    <x v="103"/>
    <x v="0"/>
    <x v="1"/>
    <x v="2"/>
    <x v="1"/>
    <x v="2"/>
  </r>
  <r>
    <x v="193"/>
    <x v="2"/>
    <x v="4"/>
    <x v="4"/>
    <x v="0"/>
    <x v="0"/>
    <x v="0"/>
    <x v="5"/>
    <x v="0"/>
    <x v="2"/>
    <x v="3"/>
    <x v="7"/>
    <x v="21"/>
    <x v="4"/>
    <x v="7"/>
    <x v="1"/>
    <x v="0"/>
    <x v="4"/>
  </r>
  <r>
    <x v="194"/>
    <x v="82"/>
    <x v="3"/>
    <x v="17"/>
    <x v="1"/>
    <x v="2"/>
    <x v="3"/>
    <x v="9"/>
    <x v="2"/>
    <x v="9"/>
    <x v="0"/>
    <x v="118"/>
    <x v="111"/>
    <x v="3"/>
    <x v="7"/>
    <x v="2"/>
    <x v="1"/>
    <x v="8"/>
  </r>
  <r>
    <x v="195"/>
    <x v="134"/>
    <x v="8"/>
    <x v="10"/>
    <x v="2"/>
    <x v="1"/>
    <x v="1"/>
    <x v="13"/>
    <x v="3"/>
    <x v="5"/>
    <x v="1"/>
    <x v="73"/>
    <x v="80"/>
    <x v="2"/>
    <x v="3"/>
    <x v="1"/>
    <x v="1"/>
    <x v="1"/>
  </r>
  <r>
    <x v="196"/>
    <x v="6"/>
    <x v="7"/>
    <x v="11"/>
    <x v="3"/>
    <x v="2"/>
    <x v="3"/>
    <x v="8"/>
    <x v="2"/>
    <x v="11"/>
    <x v="2"/>
    <x v="123"/>
    <x v="118"/>
    <x v="1"/>
    <x v="3"/>
    <x v="2"/>
    <x v="1"/>
    <x v="4"/>
  </r>
  <r>
    <x v="197"/>
    <x v="14"/>
    <x v="4"/>
    <x v="2"/>
    <x v="5"/>
    <x v="1"/>
    <x v="2"/>
    <x v="0"/>
    <x v="3"/>
    <x v="12"/>
    <x v="0"/>
    <x v="151"/>
    <x v="145"/>
    <x v="0"/>
    <x v="4"/>
    <x v="0"/>
    <x v="1"/>
    <x v="4"/>
  </r>
  <r>
    <x v="198"/>
    <x v="124"/>
    <x v="9"/>
    <x v="17"/>
    <x v="1"/>
    <x v="2"/>
    <x v="0"/>
    <x v="14"/>
    <x v="3"/>
    <x v="0"/>
    <x v="0"/>
    <x v="33"/>
    <x v="51"/>
    <x v="4"/>
    <x v="7"/>
    <x v="1"/>
    <x v="1"/>
    <x v="5"/>
  </r>
  <r>
    <x v="199"/>
    <x v="93"/>
    <x v="9"/>
    <x v="2"/>
    <x v="5"/>
    <x v="1"/>
    <x v="2"/>
    <x v="0"/>
    <x v="2"/>
    <x v="12"/>
    <x v="1"/>
    <x v="143"/>
    <x v="137"/>
    <x v="0"/>
    <x v="3"/>
    <x v="0"/>
    <x v="1"/>
    <x v="6"/>
  </r>
  <r>
    <x v="200"/>
    <x v="74"/>
    <x v="9"/>
    <x v="4"/>
    <x v="0"/>
    <x v="0"/>
    <x v="4"/>
    <x v="2"/>
    <x v="3"/>
    <x v="9"/>
    <x v="0"/>
    <x v="126"/>
    <x v="129"/>
    <x v="0"/>
    <x v="1"/>
    <x v="2"/>
    <x v="1"/>
    <x v="0"/>
  </r>
  <r>
    <x v="201"/>
    <x v="82"/>
    <x v="6"/>
    <x v="1"/>
    <x v="2"/>
    <x v="1"/>
    <x v="3"/>
    <x v="11"/>
    <x v="1"/>
    <x v="10"/>
    <x v="3"/>
    <x v="94"/>
    <x v="85"/>
    <x v="4"/>
    <x v="2"/>
    <x v="2"/>
    <x v="1"/>
    <x v="8"/>
  </r>
  <r>
    <x v="202"/>
    <x v="68"/>
    <x v="3"/>
    <x v="16"/>
    <x v="4"/>
    <x v="0"/>
    <x v="2"/>
    <x v="0"/>
    <x v="1"/>
    <x v="12"/>
    <x v="3"/>
    <x v="129"/>
    <x v="103"/>
    <x v="1"/>
    <x v="5"/>
    <x v="2"/>
    <x v="1"/>
    <x v="0"/>
  </r>
  <r>
    <x v="203"/>
    <x v="109"/>
    <x v="6"/>
    <x v="14"/>
    <x v="0"/>
    <x v="0"/>
    <x v="2"/>
    <x v="6"/>
    <x v="3"/>
    <x v="13"/>
    <x v="2"/>
    <x v="152"/>
    <x v="144"/>
    <x v="1"/>
    <x v="7"/>
    <x v="0"/>
    <x v="1"/>
    <x v="6"/>
  </r>
  <r>
    <x v="204"/>
    <x v="64"/>
    <x v="9"/>
    <x v="11"/>
    <x v="3"/>
    <x v="2"/>
    <x v="3"/>
    <x v="9"/>
    <x v="1"/>
    <x v="9"/>
    <x v="2"/>
    <x v="90"/>
    <x v="85"/>
    <x v="2"/>
    <x v="4"/>
    <x v="2"/>
    <x v="1"/>
    <x v="0"/>
  </r>
  <r>
    <x v="205"/>
    <x v="22"/>
    <x v="8"/>
    <x v="16"/>
    <x v="4"/>
    <x v="0"/>
    <x v="1"/>
    <x v="3"/>
    <x v="1"/>
    <x v="3"/>
    <x v="1"/>
    <x v="43"/>
    <x v="48"/>
    <x v="1"/>
    <x v="2"/>
    <x v="1"/>
    <x v="1"/>
    <x v="3"/>
  </r>
  <r>
    <x v="206"/>
    <x v="59"/>
    <x v="6"/>
    <x v="9"/>
    <x v="3"/>
    <x v="2"/>
    <x v="0"/>
    <x v="14"/>
    <x v="0"/>
    <x v="0"/>
    <x v="2"/>
    <x v="1"/>
    <x v="27"/>
    <x v="3"/>
    <x v="7"/>
    <x v="1"/>
    <x v="0"/>
    <x v="0"/>
  </r>
  <r>
    <x v="207"/>
    <x v="162"/>
    <x v="9"/>
    <x v="4"/>
    <x v="0"/>
    <x v="0"/>
    <x v="4"/>
    <x v="2"/>
    <x v="1"/>
    <x v="9"/>
    <x v="0"/>
    <x v="95"/>
    <x v="90"/>
    <x v="2"/>
    <x v="0"/>
    <x v="2"/>
    <x v="1"/>
    <x v="10"/>
  </r>
  <r>
    <x v="208"/>
    <x v="153"/>
    <x v="8"/>
    <x v="0"/>
    <x v="1"/>
    <x v="2"/>
    <x v="2"/>
    <x v="0"/>
    <x v="3"/>
    <x v="12"/>
    <x v="0"/>
    <x v="151"/>
    <x v="145"/>
    <x v="3"/>
    <x v="4"/>
    <x v="0"/>
    <x v="1"/>
    <x v="11"/>
  </r>
  <r>
    <x v="209"/>
    <x v="111"/>
    <x v="6"/>
    <x v="2"/>
    <x v="5"/>
    <x v="1"/>
    <x v="4"/>
    <x v="7"/>
    <x v="1"/>
    <x v="6"/>
    <x v="1"/>
    <x v="82"/>
    <x v="79"/>
    <x v="0"/>
    <x v="1"/>
    <x v="1"/>
    <x v="1"/>
    <x v="5"/>
  </r>
  <r>
    <x v="210"/>
    <x v="12"/>
    <x v="6"/>
    <x v="14"/>
    <x v="0"/>
    <x v="0"/>
    <x v="0"/>
    <x v="12"/>
    <x v="0"/>
    <x v="1"/>
    <x v="1"/>
    <x v="5"/>
    <x v="28"/>
    <x v="3"/>
    <x v="7"/>
    <x v="1"/>
    <x v="0"/>
    <x v="4"/>
  </r>
  <r>
    <x v="211"/>
    <x v="146"/>
    <x v="0"/>
    <x v="6"/>
    <x v="4"/>
    <x v="0"/>
    <x v="4"/>
    <x v="10"/>
    <x v="3"/>
    <x v="7"/>
    <x v="0"/>
    <x v="113"/>
    <x v="113"/>
    <x v="2"/>
    <x v="0"/>
    <x v="2"/>
    <x v="1"/>
    <x v="11"/>
  </r>
  <r>
    <x v="212"/>
    <x v="44"/>
    <x v="3"/>
    <x v="11"/>
    <x v="3"/>
    <x v="2"/>
    <x v="1"/>
    <x v="3"/>
    <x v="0"/>
    <x v="3"/>
    <x v="0"/>
    <x v="25"/>
    <x v="29"/>
    <x v="0"/>
    <x v="5"/>
    <x v="1"/>
    <x v="0"/>
    <x v="7"/>
  </r>
  <r>
    <x v="213"/>
    <x v="161"/>
    <x v="1"/>
    <x v="2"/>
    <x v="5"/>
    <x v="1"/>
    <x v="4"/>
    <x v="10"/>
    <x v="1"/>
    <x v="7"/>
    <x v="0"/>
    <x v="86"/>
    <x v="83"/>
    <x v="4"/>
    <x v="1"/>
    <x v="1"/>
    <x v="1"/>
    <x v="10"/>
  </r>
  <r>
    <x v="214"/>
    <x v="18"/>
    <x v="4"/>
    <x v="17"/>
    <x v="1"/>
    <x v="2"/>
    <x v="2"/>
    <x v="6"/>
    <x v="1"/>
    <x v="13"/>
    <x v="0"/>
    <x v="140"/>
    <x v="126"/>
    <x v="3"/>
    <x v="0"/>
    <x v="0"/>
    <x v="1"/>
    <x v="4"/>
  </r>
  <r>
    <x v="215"/>
    <x v="133"/>
    <x v="7"/>
    <x v="1"/>
    <x v="2"/>
    <x v="1"/>
    <x v="0"/>
    <x v="12"/>
    <x v="1"/>
    <x v="1"/>
    <x v="1"/>
    <x v="14"/>
    <x v="35"/>
    <x v="2"/>
    <x v="3"/>
    <x v="1"/>
    <x v="1"/>
    <x v="1"/>
  </r>
  <r>
    <x v="216"/>
    <x v="164"/>
    <x v="3"/>
    <x v="9"/>
    <x v="3"/>
    <x v="2"/>
    <x v="0"/>
    <x v="14"/>
    <x v="1"/>
    <x v="0"/>
    <x v="0"/>
    <x v="12"/>
    <x v="33"/>
    <x v="3"/>
    <x v="3"/>
    <x v="1"/>
    <x v="1"/>
    <x v="10"/>
  </r>
  <r>
    <x v="217"/>
    <x v="63"/>
    <x v="8"/>
    <x v="8"/>
    <x v="2"/>
    <x v="1"/>
    <x v="0"/>
    <x v="14"/>
    <x v="0"/>
    <x v="0"/>
    <x v="3"/>
    <x v="0"/>
    <x v="25"/>
    <x v="0"/>
    <x v="7"/>
    <x v="1"/>
    <x v="0"/>
    <x v="0"/>
  </r>
  <r>
    <x v="218"/>
    <x v="179"/>
    <x v="3"/>
    <x v="6"/>
    <x v="4"/>
    <x v="0"/>
    <x v="1"/>
    <x v="3"/>
    <x v="0"/>
    <x v="3"/>
    <x v="3"/>
    <x v="16"/>
    <x v="18"/>
    <x v="1"/>
    <x v="7"/>
    <x v="1"/>
    <x v="0"/>
    <x v="9"/>
  </r>
  <r>
    <x v="219"/>
    <x v="47"/>
    <x v="2"/>
    <x v="15"/>
    <x v="1"/>
    <x v="2"/>
    <x v="3"/>
    <x v="9"/>
    <x v="1"/>
    <x v="9"/>
    <x v="3"/>
    <x v="88"/>
    <x v="84"/>
    <x v="4"/>
    <x v="0"/>
    <x v="2"/>
    <x v="1"/>
    <x v="7"/>
  </r>
  <r>
    <x v="220"/>
    <x v="53"/>
    <x v="6"/>
    <x v="2"/>
    <x v="5"/>
    <x v="1"/>
    <x v="3"/>
    <x v="9"/>
    <x v="1"/>
    <x v="9"/>
    <x v="3"/>
    <x v="88"/>
    <x v="84"/>
    <x v="0"/>
    <x v="2"/>
    <x v="2"/>
    <x v="1"/>
    <x v="7"/>
  </r>
  <r>
    <x v="221"/>
    <x v="3"/>
    <x v="4"/>
    <x v="12"/>
    <x v="0"/>
    <x v="0"/>
    <x v="3"/>
    <x v="11"/>
    <x v="3"/>
    <x v="10"/>
    <x v="3"/>
    <x v="124"/>
    <x v="125"/>
    <x v="3"/>
    <x v="3"/>
    <x v="2"/>
    <x v="1"/>
    <x v="4"/>
  </r>
  <r>
    <x v="222"/>
    <x v="130"/>
    <x v="2"/>
    <x v="7"/>
    <x v="5"/>
    <x v="1"/>
    <x v="2"/>
    <x v="4"/>
    <x v="0"/>
    <x v="14"/>
    <x v="3"/>
    <x v="105"/>
    <x v="0"/>
    <x v="2"/>
    <x v="4"/>
    <x v="2"/>
    <x v="0"/>
    <x v="1"/>
  </r>
  <r>
    <x v="223"/>
    <x v="62"/>
    <x v="8"/>
    <x v="4"/>
    <x v="0"/>
    <x v="0"/>
    <x v="0"/>
    <x v="14"/>
    <x v="2"/>
    <x v="0"/>
    <x v="0"/>
    <x v="23"/>
    <x v="42"/>
    <x v="0"/>
    <x v="1"/>
    <x v="1"/>
    <x v="1"/>
    <x v="0"/>
  </r>
  <r>
    <x v="224"/>
    <x v="166"/>
    <x v="1"/>
    <x v="13"/>
    <x v="3"/>
    <x v="2"/>
    <x v="3"/>
    <x v="8"/>
    <x v="1"/>
    <x v="11"/>
    <x v="2"/>
    <x v="106"/>
    <x v="93"/>
    <x v="4"/>
    <x v="2"/>
    <x v="2"/>
    <x v="1"/>
    <x v="10"/>
  </r>
  <r>
    <x v="225"/>
    <x v="12"/>
    <x v="7"/>
    <x v="12"/>
    <x v="0"/>
    <x v="0"/>
    <x v="0"/>
    <x v="14"/>
    <x v="1"/>
    <x v="0"/>
    <x v="0"/>
    <x v="12"/>
    <x v="33"/>
    <x v="2"/>
    <x v="0"/>
    <x v="1"/>
    <x v="1"/>
    <x v="4"/>
  </r>
  <r>
    <x v="226"/>
    <x v="132"/>
    <x v="0"/>
    <x v="2"/>
    <x v="5"/>
    <x v="1"/>
    <x v="0"/>
    <x v="14"/>
    <x v="2"/>
    <x v="0"/>
    <x v="1"/>
    <x v="21"/>
    <x v="41"/>
    <x v="3"/>
    <x v="3"/>
    <x v="1"/>
    <x v="1"/>
    <x v="1"/>
  </r>
  <r>
    <x v="227"/>
    <x v="119"/>
    <x v="0"/>
    <x v="16"/>
    <x v="4"/>
    <x v="0"/>
    <x v="3"/>
    <x v="9"/>
    <x v="3"/>
    <x v="9"/>
    <x v="0"/>
    <x v="126"/>
    <x v="129"/>
    <x v="0"/>
    <x v="7"/>
    <x v="2"/>
    <x v="1"/>
    <x v="5"/>
  </r>
  <r>
    <x v="228"/>
    <x v="98"/>
    <x v="9"/>
    <x v="12"/>
    <x v="0"/>
    <x v="0"/>
    <x v="0"/>
    <x v="14"/>
    <x v="2"/>
    <x v="0"/>
    <x v="3"/>
    <x v="15"/>
    <x v="38"/>
    <x v="2"/>
    <x v="3"/>
    <x v="1"/>
    <x v="1"/>
    <x v="6"/>
  </r>
  <r>
    <x v="229"/>
    <x v="40"/>
    <x v="6"/>
    <x v="0"/>
    <x v="1"/>
    <x v="2"/>
    <x v="2"/>
    <x v="4"/>
    <x v="3"/>
    <x v="14"/>
    <x v="2"/>
    <x v="153"/>
    <x v="146"/>
    <x v="3"/>
    <x v="2"/>
    <x v="0"/>
    <x v="1"/>
    <x v="7"/>
  </r>
  <r>
    <x v="230"/>
    <x v="185"/>
    <x v="5"/>
    <x v="2"/>
    <x v="5"/>
    <x v="1"/>
    <x v="4"/>
    <x v="10"/>
    <x v="2"/>
    <x v="7"/>
    <x v="0"/>
    <x v="97"/>
    <x v="97"/>
    <x v="0"/>
    <x v="5"/>
    <x v="2"/>
    <x v="1"/>
    <x v="9"/>
  </r>
  <r>
    <x v="231"/>
    <x v="117"/>
    <x v="8"/>
    <x v="14"/>
    <x v="0"/>
    <x v="0"/>
    <x v="1"/>
    <x v="1"/>
    <x v="2"/>
    <x v="4"/>
    <x v="0"/>
    <x v="56"/>
    <x v="66"/>
    <x v="3"/>
    <x v="7"/>
    <x v="1"/>
    <x v="1"/>
    <x v="5"/>
  </r>
  <r>
    <x v="232"/>
    <x v="168"/>
    <x v="8"/>
    <x v="4"/>
    <x v="0"/>
    <x v="0"/>
    <x v="4"/>
    <x v="2"/>
    <x v="1"/>
    <x v="9"/>
    <x v="3"/>
    <x v="88"/>
    <x v="84"/>
    <x v="1"/>
    <x v="1"/>
    <x v="2"/>
    <x v="1"/>
    <x v="10"/>
  </r>
  <r>
    <x v="233"/>
    <x v="178"/>
    <x v="8"/>
    <x v="4"/>
    <x v="0"/>
    <x v="0"/>
    <x v="0"/>
    <x v="12"/>
    <x v="0"/>
    <x v="1"/>
    <x v="2"/>
    <x v="4"/>
    <x v="26"/>
    <x v="2"/>
    <x v="4"/>
    <x v="1"/>
    <x v="0"/>
    <x v="9"/>
  </r>
  <r>
    <x v="234"/>
    <x v="176"/>
    <x v="1"/>
    <x v="14"/>
    <x v="0"/>
    <x v="0"/>
    <x v="2"/>
    <x v="0"/>
    <x v="0"/>
    <x v="12"/>
    <x v="3"/>
    <x v="98"/>
    <x v="2"/>
    <x v="2"/>
    <x v="2"/>
    <x v="2"/>
    <x v="0"/>
    <x v="9"/>
  </r>
  <r>
    <x v="235"/>
    <x v="127"/>
    <x v="3"/>
    <x v="12"/>
    <x v="0"/>
    <x v="0"/>
    <x v="3"/>
    <x v="11"/>
    <x v="1"/>
    <x v="10"/>
    <x v="1"/>
    <x v="99"/>
    <x v="91"/>
    <x v="2"/>
    <x v="3"/>
    <x v="2"/>
    <x v="1"/>
    <x v="5"/>
  </r>
  <r>
    <x v="236"/>
    <x v="203"/>
    <x v="9"/>
    <x v="0"/>
    <x v="1"/>
    <x v="2"/>
    <x v="3"/>
    <x v="8"/>
    <x v="0"/>
    <x v="11"/>
    <x v="1"/>
    <x v="85"/>
    <x v="11"/>
    <x v="2"/>
    <x v="2"/>
    <x v="1"/>
    <x v="0"/>
    <x v="2"/>
  </r>
  <r>
    <x v="237"/>
    <x v="97"/>
    <x v="9"/>
    <x v="2"/>
    <x v="5"/>
    <x v="1"/>
    <x v="0"/>
    <x v="14"/>
    <x v="3"/>
    <x v="0"/>
    <x v="0"/>
    <x v="33"/>
    <x v="51"/>
    <x v="1"/>
    <x v="0"/>
    <x v="1"/>
    <x v="1"/>
    <x v="6"/>
  </r>
  <r>
    <x v="238"/>
    <x v="5"/>
    <x v="3"/>
    <x v="3"/>
    <x v="5"/>
    <x v="1"/>
    <x v="0"/>
    <x v="5"/>
    <x v="1"/>
    <x v="2"/>
    <x v="1"/>
    <x v="26"/>
    <x v="37"/>
    <x v="3"/>
    <x v="2"/>
    <x v="1"/>
    <x v="1"/>
    <x v="4"/>
  </r>
  <r>
    <x v="239"/>
    <x v="144"/>
    <x v="5"/>
    <x v="14"/>
    <x v="0"/>
    <x v="0"/>
    <x v="0"/>
    <x v="5"/>
    <x v="2"/>
    <x v="2"/>
    <x v="0"/>
    <x v="38"/>
    <x v="55"/>
    <x v="2"/>
    <x v="7"/>
    <x v="1"/>
    <x v="1"/>
    <x v="11"/>
  </r>
  <r>
    <x v="240"/>
    <x v="177"/>
    <x v="0"/>
    <x v="8"/>
    <x v="2"/>
    <x v="1"/>
    <x v="0"/>
    <x v="14"/>
    <x v="2"/>
    <x v="0"/>
    <x v="0"/>
    <x v="23"/>
    <x v="42"/>
    <x v="0"/>
    <x v="3"/>
    <x v="1"/>
    <x v="1"/>
    <x v="9"/>
  </r>
  <r>
    <x v="241"/>
    <x v="23"/>
    <x v="8"/>
    <x v="16"/>
    <x v="4"/>
    <x v="0"/>
    <x v="0"/>
    <x v="5"/>
    <x v="2"/>
    <x v="2"/>
    <x v="1"/>
    <x v="36"/>
    <x v="52"/>
    <x v="4"/>
    <x v="6"/>
    <x v="1"/>
    <x v="1"/>
    <x v="3"/>
  </r>
  <r>
    <x v="242"/>
    <x v="110"/>
    <x v="4"/>
    <x v="1"/>
    <x v="2"/>
    <x v="1"/>
    <x v="0"/>
    <x v="12"/>
    <x v="2"/>
    <x v="1"/>
    <x v="0"/>
    <x v="33"/>
    <x v="47"/>
    <x v="2"/>
    <x v="5"/>
    <x v="1"/>
    <x v="1"/>
    <x v="5"/>
  </r>
  <r>
    <x v="243"/>
    <x v="112"/>
    <x v="5"/>
    <x v="17"/>
    <x v="1"/>
    <x v="2"/>
    <x v="2"/>
    <x v="4"/>
    <x v="0"/>
    <x v="14"/>
    <x v="2"/>
    <x v="109"/>
    <x v="3"/>
    <x v="2"/>
    <x v="2"/>
    <x v="2"/>
    <x v="0"/>
    <x v="5"/>
  </r>
  <r>
    <x v="244"/>
    <x v="145"/>
    <x v="0"/>
    <x v="0"/>
    <x v="1"/>
    <x v="2"/>
    <x v="3"/>
    <x v="9"/>
    <x v="2"/>
    <x v="9"/>
    <x v="1"/>
    <x v="115"/>
    <x v="106"/>
    <x v="4"/>
    <x v="2"/>
    <x v="2"/>
    <x v="1"/>
    <x v="11"/>
  </r>
  <r>
    <x v="245"/>
    <x v="65"/>
    <x v="5"/>
    <x v="14"/>
    <x v="0"/>
    <x v="0"/>
    <x v="4"/>
    <x v="10"/>
    <x v="0"/>
    <x v="7"/>
    <x v="1"/>
    <x v="69"/>
    <x v="14"/>
    <x v="0"/>
    <x v="4"/>
    <x v="1"/>
    <x v="0"/>
    <x v="0"/>
  </r>
  <r>
    <x v="246"/>
    <x v="83"/>
    <x v="0"/>
    <x v="15"/>
    <x v="1"/>
    <x v="2"/>
    <x v="4"/>
    <x v="2"/>
    <x v="3"/>
    <x v="9"/>
    <x v="3"/>
    <x v="120"/>
    <x v="119"/>
    <x v="4"/>
    <x v="0"/>
    <x v="2"/>
    <x v="1"/>
    <x v="8"/>
  </r>
  <r>
    <x v="247"/>
    <x v="174"/>
    <x v="3"/>
    <x v="14"/>
    <x v="0"/>
    <x v="0"/>
    <x v="0"/>
    <x v="14"/>
    <x v="0"/>
    <x v="0"/>
    <x v="0"/>
    <x v="2"/>
    <x v="29"/>
    <x v="4"/>
    <x v="6"/>
    <x v="1"/>
    <x v="0"/>
    <x v="9"/>
  </r>
  <r>
    <x v="248"/>
    <x v="77"/>
    <x v="5"/>
    <x v="0"/>
    <x v="1"/>
    <x v="2"/>
    <x v="4"/>
    <x v="2"/>
    <x v="1"/>
    <x v="9"/>
    <x v="0"/>
    <x v="95"/>
    <x v="90"/>
    <x v="3"/>
    <x v="6"/>
    <x v="2"/>
    <x v="1"/>
    <x v="8"/>
  </r>
  <r>
    <x v="249"/>
    <x v="55"/>
    <x v="3"/>
    <x v="16"/>
    <x v="4"/>
    <x v="0"/>
    <x v="3"/>
    <x v="11"/>
    <x v="0"/>
    <x v="10"/>
    <x v="0"/>
    <x v="80"/>
    <x v="29"/>
    <x v="3"/>
    <x v="1"/>
    <x v="1"/>
    <x v="0"/>
    <x v="7"/>
  </r>
  <r>
    <x v="250"/>
    <x v="37"/>
    <x v="1"/>
    <x v="16"/>
    <x v="4"/>
    <x v="0"/>
    <x v="1"/>
    <x v="13"/>
    <x v="0"/>
    <x v="5"/>
    <x v="3"/>
    <x v="34"/>
    <x v="15"/>
    <x v="1"/>
    <x v="6"/>
    <x v="1"/>
    <x v="0"/>
    <x v="7"/>
  </r>
  <r>
    <x v="251"/>
    <x v="38"/>
    <x v="0"/>
    <x v="7"/>
    <x v="5"/>
    <x v="1"/>
    <x v="1"/>
    <x v="1"/>
    <x v="2"/>
    <x v="4"/>
    <x v="0"/>
    <x v="56"/>
    <x v="66"/>
    <x v="2"/>
    <x v="4"/>
    <x v="1"/>
    <x v="1"/>
    <x v="7"/>
  </r>
  <r>
    <x v="252"/>
    <x v="17"/>
    <x v="6"/>
    <x v="17"/>
    <x v="1"/>
    <x v="2"/>
    <x v="0"/>
    <x v="14"/>
    <x v="3"/>
    <x v="0"/>
    <x v="2"/>
    <x v="31"/>
    <x v="46"/>
    <x v="4"/>
    <x v="3"/>
    <x v="1"/>
    <x v="1"/>
    <x v="4"/>
  </r>
  <r>
    <x v="253"/>
    <x v="131"/>
    <x v="9"/>
    <x v="5"/>
    <x v="4"/>
    <x v="0"/>
    <x v="1"/>
    <x v="1"/>
    <x v="0"/>
    <x v="4"/>
    <x v="3"/>
    <x v="24"/>
    <x v="16"/>
    <x v="0"/>
    <x v="7"/>
    <x v="1"/>
    <x v="0"/>
    <x v="1"/>
  </r>
  <r>
    <x v="254"/>
    <x v="50"/>
    <x v="5"/>
    <x v="4"/>
    <x v="0"/>
    <x v="0"/>
    <x v="0"/>
    <x v="14"/>
    <x v="2"/>
    <x v="0"/>
    <x v="1"/>
    <x v="21"/>
    <x v="41"/>
    <x v="3"/>
    <x v="4"/>
    <x v="1"/>
    <x v="1"/>
    <x v="7"/>
  </r>
  <r>
    <x v="255"/>
    <x v="187"/>
    <x v="1"/>
    <x v="6"/>
    <x v="4"/>
    <x v="0"/>
    <x v="3"/>
    <x v="9"/>
    <x v="1"/>
    <x v="9"/>
    <x v="2"/>
    <x v="90"/>
    <x v="85"/>
    <x v="0"/>
    <x v="2"/>
    <x v="2"/>
    <x v="1"/>
    <x v="9"/>
  </r>
  <r>
    <x v="256"/>
    <x v="86"/>
    <x v="5"/>
    <x v="7"/>
    <x v="5"/>
    <x v="1"/>
    <x v="4"/>
    <x v="7"/>
    <x v="0"/>
    <x v="6"/>
    <x v="2"/>
    <x v="62"/>
    <x v="12"/>
    <x v="3"/>
    <x v="7"/>
    <x v="1"/>
    <x v="0"/>
    <x v="8"/>
  </r>
  <r>
    <x v="257"/>
    <x v="185"/>
    <x v="5"/>
    <x v="13"/>
    <x v="3"/>
    <x v="2"/>
    <x v="4"/>
    <x v="7"/>
    <x v="3"/>
    <x v="6"/>
    <x v="2"/>
    <x v="102"/>
    <x v="101"/>
    <x v="0"/>
    <x v="4"/>
    <x v="2"/>
    <x v="1"/>
    <x v="9"/>
  </r>
  <r>
    <x v="258"/>
    <x v="99"/>
    <x v="8"/>
    <x v="14"/>
    <x v="0"/>
    <x v="0"/>
    <x v="4"/>
    <x v="7"/>
    <x v="2"/>
    <x v="6"/>
    <x v="3"/>
    <x v="87"/>
    <x v="89"/>
    <x v="2"/>
    <x v="5"/>
    <x v="2"/>
    <x v="1"/>
    <x v="6"/>
  </r>
  <r>
    <x v="259"/>
    <x v="175"/>
    <x v="9"/>
    <x v="7"/>
    <x v="5"/>
    <x v="1"/>
    <x v="2"/>
    <x v="0"/>
    <x v="2"/>
    <x v="12"/>
    <x v="0"/>
    <x v="145"/>
    <x v="140"/>
    <x v="0"/>
    <x v="6"/>
    <x v="0"/>
    <x v="1"/>
    <x v="9"/>
  </r>
  <r>
    <x v="260"/>
    <x v="85"/>
    <x v="6"/>
    <x v="1"/>
    <x v="2"/>
    <x v="1"/>
    <x v="3"/>
    <x v="8"/>
    <x v="2"/>
    <x v="11"/>
    <x v="2"/>
    <x v="123"/>
    <x v="118"/>
    <x v="1"/>
    <x v="5"/>
    <x v="2"/>
    <x v="1"/>
    <x v="8"/>
  </r>
  <r>
    <x v="261"/>
    <x v="139"/>
    <x v="0"/>
    <x v="1"/>
    <x v="2"/>
    <x v="1"/>
    <x v="0"/>
    <x v="14"/>
    <x v="1"/>
    <x v="0"/>
    <x v="0"/>
    <x v="12"/>
    <x v="33"/>
    <x v="0"/>
    <x v="2"/>
    <x v="1"/>
    <x v="1"/>
    <x v="1"/>
  </r>
  <r>
    <x v="262"/>
    <x v="22"/>
    <x v="3"/>
    <x v="12"/>
    <x v="0"/>
    <x v="0"/>
    <x v="4"/>
    <x v="10"/>
    <x v="3"/>
    <x v="7"/>
    <x v="1"/>
    <x v="110"/>
    <x v="109"/>
    <x v="4"/>
    <x v="7"/>
    <x v="2"/>
    <x v="1"/>
    <x v="3"/>
  </r>
  <r>
    <x v="263"/>
    <x v="120"/>
    <x v="5"/>
    <x v="12"/>
    <x v="0"/>
    <x v="0"/>
    <x v="1"/>
    <x v="13"/>
    <x v="3"/>
    <x v="5"/>
    <x v="1"/>
    <x v="73"/>
    <x v="80"/>
    <x v="2"/>
    <x v="6"/>
    <x v="1"/>
    <x v="1"/>
    <x v="5"/>
  </r>
  <r>
    <x v="264"/>
    <x v="198"/>
    <x v="5"/>
    <x v="3"/>
    <x v="5"/>
    <x v="1"/>
    <x v="3"/>
    <x v="11"/>
    <x v="1"/>
    <x v="10"/>
    <x v="1"/>
    <x v="99"/>
    <x v="91"/>
    <x v="0"/>
    <x v="7"/>
    <x v="2"/>
    <x v="1"/>
    <x v="2"/>
  </r>
  <r>
    <x v="265"/>
    <x v="37"/>
    <x v="5"/>
    <x v="12"/>
    <x v="0"/>
    <x v="0"/>
    <x v="1"/>
    <x v="3"/>
    <x v="3"/>
    <x v="3"/>
    <x v="3"/>
    <x v="55"/>
    <x v="67"/>
    <x v="2"/>
    <x v="3"/>
    <x v="1"/>
    <x v="1"/>
    <x v="7"/>
  </r>
  <r>
    <x v="266"/>
    <x v="46"/>
    <x v="8"/>
    <x v="15"/>
    <x v="1"/>
    <x v="2"/>
    <x v="2"/>
    <x v="6"/>
    <x v="3"/>
    <x v="13"/>
    <x v="2"/>
    <x v="152"/>
    <x v="144"/>
    <x v="4"/>
    <x v="0"/>
    <x v="0"/>
    <x v="1"/>
    <x v="7"/>
  </r>
  <r>
    <x v="267"/>
    <x v="103"/>
    <x v="5"/>
    <x v="14"/>
    <x v="0"/>
    <x v="0"/>
    <x v="1"/>
    <x v="13"/>
    <x v="2"/>
    <x v="5"/>
    <x v="1"/>
    <x v="66"/>
    <x v="71"/>
    <x v="0"/>
    <x v="2"/>
    <x v="1"/>
    <x v="1"/>
    <x v="6"/>
  </r>
  <r>
    <x v="268"/>
    <x v="102"/>
    <x v="4"/>
    <x v="7"/>
    <x v="5"/>
    <x v="1"/>
    <x v="1"/>
    <x v="3"/>
    <x v="3"/>
    <x v="3"/>
    <x v="2"/>
    <x v="57"/>
    <x v="68"/>
    <x v="2"/>
    <x v="3"/>
    <x v="1"/>
    <x v="1"/>
    <x v="6"/>
  </r>
  <r>
    <x v="269"/>
    <x v="128"/>
    <x v="3"/>
    <x v="8"/>
    <x v="2"/>
    <x v="1"/>
    <x v="1"/>
    <x v="3"/>
    <x v="0"/>
    <x v="3"/>
    <x v="2"/>
    <x v="19"/>
    <x v="20"/>
    <x v="2"/>
    <x v="6"/>
    <x v="1"/>
    <x v="0"/>
    <x v="5"/>
  </r>
  <r>
    <x v="270"/>
    <x v="10"/>
    <x v="2"/>
    <x v="11"/>
    <x v="3"/>
    <x v="2"/>
    <x v="0"/>
    <x v="5"/>
    <x v="0"/>
    <x v="2"/>
    <x v="0"/>
    <x v="9"/>
    <x v="29"/>
    <x v="0"/>
    <x v="2"/>
    <x v="1"/>
    <x v="0"/>
    <x v="4"/>
  </r>
  <r>
    <x v="271"/>
    <x v="181"/>
    <x v="9"/>
    <x v="2"/>
    <x v="5"/>
    <x v="1"/>
    <x v="3"/>
    <x v="11"/>
    <x v="0"/>
    <x v="10"/>
    <x v="0"/>
    <x v="80"/>
    <x v="29"/>
    <x v="3"/>
    <x v="3"/>
    <x v="1"/>
    <x v="0"/>
    <x v="9"/>
  </r>
  <r>
    <x v="272"/>
    <x v="24"/>
    <x v="3"/>
    <x v="7"/>
    <x v="5"/>
    <x v="1"/>
    <x v="2"/>
    <x v="6"/>
    <x v="1"/>
    <x v="13"/>
    <x v="0"/>
    <x v="140"/>
    <x v="126"/>
    <x v="0"/>
    <x v="4"/>
    <x v="0"/>
    <x v="1"/>
    <x v="3"/>
  </r>
  <r>
    <x v="273"/>
    <x v="91"/>
    <x v="4"/>
    <x v="0"/>
    <x v="1"/>
    <x v="2"/>
    <x v="0"/>
    <x v="14"/>
    <x v="0"/>
    <x v="0"/>
    <x v="0"/>
    <x v="2"/>
    <x v="29"/>
    <x v="2"/>
    <x v="5"/>
    <x v="1"/>
    <x v="0"/>
    <x v="8"/>
  </r>
  <r>
    <x v="274"/>
    <x v="171"/>
    <x v="3"/>
    <x v="4"/>
    <x v="0"/>
    <x v="0"/>
    <x v="2"/>
    <x v="0"/>
    <x v="1"/>
    <x v="12"/>
    <x v="3"/>
    <x v="129"/>
    <x v="103"/>
    <x v="3"/>
    <x v="1"/>
    <x v="2"/>
    <x v="1"/>
    <x v="10"/>
  </r>
  <r>
    <x v="275"/>
    <x v="37"/>
    <x v="1"/>
    <x v="13"/>
    <x v="3"/>
    <x v="2"/>
    <x v="0"/>
    <x v="5"/>
    <x v="3"/>
    <x v="2"/>
    <x v="3"/>
    <x v="42"/>
    <x v="58"/>
    <x v="1"/>
    <x v="0"/>
    <x v="1"/>
    <x v="1"/>
    <x v="7"/>
  </r>
  <r>
    <x v="276"/>
    <x v="10"/>
    <x v="2"/>
    <x v="13"/>
    <x v="3"/>
    <x v="2"/>
    <x v="3"/>
    <x v="9"/>
    <x v="2"/>
    <x v="9"/>
    <x v="2"/>
    <x v="111"/>
    <x v="102"/>
    <x v="3"/>
    <x v="7"/>
    <x v="2"/>
    <x v="1"/>
    <x v="4"/>
  </r>
  <r>
    <x v="277"/>
    <x v="197"/>
    <x v="4"/>
    <x v="5"/>
    <x v="4"/>
    <x v="0"/>
    <x v="1"/>
    <x v="3"/>
    <x v="1"/>
    <x v="3"/>
    <x v="0"/>
    <x v="45"/>
    <x v="53"/>
    <x v="4"/>
    <x v="3"/>
    <x v="1"/>
    <x v="1"/>
    <x v="2"/>
  </r>
  <r>
    <x v="278"/>
    <x v="77"/>
    <x v="8"/>
    <x v="17"/>
    <x v="1"/>
    <x v="2"/>
    <x v="3"/>
    <x v="11"/>
    <x v="3"/>
    <x v="10"/>
    <x v="2"/>
    <x v="127"/>
    <x v="128"/>
    <x v="3"/>
    <x v="4"/>
    <x v="2"/>
    <x v="1"/>
    <x v="8"/>
  </r>
  <r>
    <x v="279"/>
    <x v="15"/>
    <x v="8"/>
    <x v="5"/>
    <x v="4"/>
    <x v="0"/>
    <x v="1"/>
    <x v="13"/>
    <x v="0"/>
    <x v="5"/>
    <x v="0"/>
    <x v="38"/>
    <x v="29"/>
    <x v="3"/>
    <x v="5"/>
    <x v="1"/>
    <x v="0"/>
    <x v="4"/>
  </r>
  <r>
    <x v="280"/>
    <x v="136"/>
    <x v="0"/>
    <x v="8"/>
    <x v="2"/>
    <x v="1"/>
    <x v="3"/>
    <x v="11"/>
    <x v="1"/>
    <x v="10"/>
    <x v="0"/>
    <x v="101"/>
    <x v="94"/>
    <x v="4"/>
    <x v="2"/>
    <x v="2"/>
    <x v="1"/>
    <x v="1"/>
  </r>
  <r>
    <x v="281"/>
    <x v="29"/>
    <x v="8"/>
    <x v="7"/>
    <x v="5"/>
    <x v="1"/>
    <x v="3"/>
    <x v="9"/>
    <x v="1"/>
    <x v="9"/>
    <x v="0"/>
    <x v="95"/>
    <x v="90"/>
    <x v="2"/>
    <x v="4"/>
    <x v="2"/>
    <x v="1"/>
    <x v="3"/>
  </r>
  <r>
    <x v="282"/>
    <x v="88"/>
    <x v="3"/>
    <x v="14"/>
    <x v="0"/>
    <x v="0"/>
    <x v="3"/>
    <x v="11"/>
    <x v="2"/>
    <x v="10"/>
    <x v="3"/>
    <x v="117"/>
    <x v="104"/>
    <x v="4"/>
    <x v="1"/>
    <x v="2"/>
    <x v="1"/>
    <x v="8"/>
  </r>
  <r>
    <x v="283"/>
    <x v="87"/>
    <x v="0"/>
    <x v="4"/>
    <x v="0"/>
    <x v="0"/>
    <x v="1"/>
    <x v="3"/>
    <x v="1"/>
    <x v="3"/>
    <x v="3"/>
    <x v="40"/>
    <x v="43"/>
    <x v="3"/>
    <x v="4"/>
    <x v="1"/>
    <x v="1"/>
    <x v="8"/>
  </r>
  <r>
    <x v="284"/>
    <x v="76"/>
    <x v="8"/>
    <x v="0"/>
    <x v="1"/>
    <x v="2"/>
    <x v="2"/>
    <x v="6"/>
    <x v="2"/>
    <x v="13"/>
    <x v="2"/>
    <x v="146"/>
    <x v="138"/>
    <x v="2"/>
    <x v="6"/>
    <x v="0"/>
    <x v="1"/>
    <x v="0"/>
  </r>
  <r>
    <x v="285"/>
    <x v="20"/>
    <x v="3"/>
    <x v="6"/>
    <x v="4"/>
    <x v="0"/>
    <x v="1"/>
    <x v="3"/>
    <x v="3"/>
    <x v="3"/>
    <x v="1"/>
    <x v="58"/>
    <x v="69"/>
    <x v="2"/>
    <x v="0"/>
    <x v="1"/>
    <x v="1"/>
    <x v="4"/>
  </r>
  <r>
    <x v="286"/>
    <x v="68"/>
    <x v="5"/>
    <x v="2"/>
    <x v="5"/>
    <x v="1"/>
    <x v="0"/>
    <x v="5"/>
    <x v="3"/>
    <x v="2"/>
    <x v="1"/>
    <x v="46"/>
    <x v="60"/>
    <x v="2"/>
    <x v="3"/>
    <x v="1"/>
    <x v="1"/>
    <x v="0"/>
  </r>
  <r>
    <x v="287"/>
    <x v="187"/>
    <x v="2"/>
    <x v="0"/>
    <x v="1"/>
    <x v="2"/>
    <x v="0"/>
    <x v="14"/>
    <x v="1"/>
    <x v="0"/>
    <x v="0"/>
    <x v="12"/>
    <x v="33"/>
    <x v="1"/>
    <x v="2"/>
    <x v="1"/>
    <x v="1"/>
    <x v="9"/>
  </r>
  <r>
    <x v="288"/>
    <x v="81"/>
    <x v="7"/>
    <x v="7"/>
    <x v="5"/>
    <x v="1"/>
    <x v="0"/>
    <x v="5"/>
    <x v="0"/>
    <x v="2"/>
    <x v="0"/>
    <x v="9"/>
    <x v="29"/>
    <x v="4"/>
    <x v="3"/>
    <x v="1"/>
    <x v="0"/>
    <x v="8"/>
  </r>
  <r>
    <x v="289"/>
    <x v="7"/>
    <x v="1"/>
    <x v="4"/>
    <x v="0"/>
    <x v="0"/>
    <x v="1"/>
    <x v="1"/>
    <x v="3"/>
    <x v="4"/>
    <x v="0"/>
    <x v="65"/>
    <x v="76"/>
    <x v="3"/>
    <x v="0"/>
    <x v="1"/>
    <x v="1"/>
    <x v="4"/>
  </r>
  <r>
    <x v="290"/>
    <x v="133"/>
    <x v="4"/>
    <x v="9"/>
    <x v="3"/>
    <x v="2"/>
    <x v="0"/>
    <x v="14"/>
    <x v="3"/>
    <x v="0"/>
    <x v="1"/>
    <x v="32"/>
    <x v="48"/>
    <x v="3"/>
    <x v="0"/>
    <x v="1"/>
    <x v="1"/>
    <x v="1"/>
  </r>
  <r>
    <x v="291"/>
    <x v="47"/>
    <x v="7"/>
    <x v="8"/>
    <x v="2"/>
    <x v="1"/>
    <x v="0"/>
    <x v="5"/>
    <x v="0"/>
    <x v="2"/>
    <x v="0"/>
    <x v="9"/>
    <x v="29"/>
    <x v="4"/>
    <x v="2"/>
    <x v="1"/>
    <x v="0"/>
    <x v="7"/>
  </r>
  <r>
    <x v="292"/>
    <x v="132"/>
    <x v="0"/>
    <x v="9"/>
    <x v="3"/>
    <x v="2"/>
    <x v="1"/>
    <x v="13"/>
    <x v="3"/>
    <x v="5"/>
    <x v="2"/>
    <x v="72"/>
    <x v="78"/>
    <x v="4"/>
    <x v="2"/>
    <x v="1"/>
    <x v="1"/>
    <x v="1"/>
  </r>
  <r>
    <x v="293"/>
    <x v="171"/>
    <x v="8"/>
    <x v="6"/>
    <x v="4"/>
    <x v="0"/>
    <x v="4"/>
    <x v="7"/>
    <x v="0"/>
    <x v="6"/>
    <x v="3"/>
    <x v="60"/>
    <x v="10"/>
    <x v="2"/>
    <x v="4"/>
    <x v="1"/>
    <x v="0"/>
    <x v="10"/>
  </r>
  <r>
    <x v="294"/>
    <x v="39"/>
    <x v="5"/>
    <x v="15"/>
    <x v="1"/>
    <x v="2"/>
    <x v="0"/>
    <x v="14"/>
    <x v="3"/>
    <x v="0"/>
    <x v="3"/>
    <x v="29"/>
    <x v="44"/>
    <x v="0"/>
    <x v="4"/>
    <x v="1"/>
    <x v="1"/>
    <x v="7"/>
  </r>
  <r>
    <x v="295"/>
    <x v="30"/>
    <x v="0"/>
    <x v="3"/>
    <x v="5"/>
    <x v="1"/>
    <x v="4"/>
    <x v="2"/>
    <x v="3"/>
    <x v="9"/>
    <x v="2"/>
    <x v="122"/>
    <x v="123"/>
    <x v="1"/>
    <x v="5"/>
    <x v="2"/>
    <x v="1"/>
    <x v="3"/>
  </r>
  <r>
    <x v="296"/>
    <x v="103"/>
    <x v="8"/>
    <x v="11"/>
    <x v="3"/>
    <x v="2"/>
    <x v="0"/>
    <x v="5"/>
    <x v="2"/>
    <x v="2"/>
    <x v="2"/>
    <x v="35"/>
    <x v="49"/>
    <x v="2"/>
    <x v="4"/>
    <x v="1"/>
    <x v="1"/>
    <x v="6"/>
  </r>
  <r>
    <x v="297"/>
    <x v="159"/>
    <x v="6"/>
    <x v="16"/>
    <x v="4"/>
    <x v="0"/>
    <x v="0"/>
    <x v="12"/>
    <x v="0"/>
    <x v="1"/>
    <x v="0"/>
    <x v="6"/>
    <x v="29"/>
    <x v="0"/>
    <x v="2"/>
    <x v="1"/>
    <x v="0"/>
    <x v="10"/>
  </r>
  <r>
    <x v="298"/>
    <x v="195"/>
    <x v="6"/>
    <x v="1"/>
    <x v="2"/>
    <x v="1"/>
    <x v="3"/>
    <x v="9"/>
    <x v="3"/>
    <x v="9"/>
    <x v="3"/>
    <x v="120"/>
    <x v="119"/>
    <x v="0"/>
    <x v="2"/>
    <x v="2"/>
    <x v="1"/>
    <x v="2"/>
  </r>
  <r>
    <x v="299"/>
    <x v="57"/>
    <x v="7"/>
    <x v="14"/>
    <x v="0"/>
    <x v="0"/>
    <x v="3"/>
    <x v="8"/>
    <x v="1"/>
    <x v="11"/>
    <x v="3"/>
    <x v="103"/>
    <x v="88"/>
    <x v="1"/>
    <x v="1"/>
    <x v="2"/>
    <x v="1"/>
    <x v="7"/>
  </r>
  <r>
    <x v="300"/>
    <x v="100"/>
    <x v="7"/>
    <x v="8"/>
    <x v="2"/>
    <x v="1"/>
    <x v="4"/>
    <x v="10"/>
    <x v="3"/>
    <x v="7"/>
    <x v="2"/>
    <x v="106"/>
    <x v="105"/>
    <x v="2"/>
    <x v="3"/>
    <x v="2"/>
    <x v="1"/>
    <x v="6"/>
  </r>
  <r>
    <x v="301"/>
    <x v="13"/>
    <x v="4"/>
    <x v="5"/>
    <x v="4"/>
    <x v="0"/>
    <x v="1"/>
    <x v="1"/>
    <x v="0"/>
    <x v="4"/>
    <x v="0"/>
    <x v="30"/>
    <x v="29"/>
    <x v="0"/>
    <x v="0"/>
    <x v="1"/>
    <x v="0"/>
    <x v="4"/>
  </r>
  <r>
    <x v="302"/>
    <x v="51"/>
    <x v="6"/>
    <x v="10"/>
    <x v="2"/>
    <x v="1"/>
    <x v="1"/>
    <x v="13"/>
    <x v="0"/>
    <x v="5"/>
    <x v="2"/>
    <x v="35"/>
    <x v="17"/>
    <x v="2"/>
    <x v="3"/>
    <x v="1"/>
    <x v="0"/>
    <x v="7"/>
  </r>
  <r>
    <x v="303"/>
    <x v="141"/>
    <x v="5"/>
    <x v="16"/>
    <x v="4"/>
    <x v="0"/>
    <x v="3"/>
    <x v="8"/>
    <x v="2"/>
    <x v="11"/>
    <x v="0"/>
    <x v="128"/>
    <x v="126"/>
    <x v="0"/>
    <x v="6"/>
    <x v="2"/>
    <x v="1"/>
    <x v="1"/>
  </r>
  <r>
    <x v="304"/>
    <x v="26"/>
    <x v="4"/>
    <x v="5"/>
    <x v="4"/>
    <x v="0"/>
    <x v="4"/>
    <x v="2"/>
    <x v="2"/>
    <x v="9"/>
    <x v="1"/>
    <x v="115"/>
    <x v="106"/>
    <x v="4"/>
    <x v="1"/>
    <x v="2"/>
    <x v="1"/>
    <x v="3"/>
  </r>
  <r>
    <x v="305"/>
    <x v="10"/>
    <x v="5"/>
    <x v="7"/>
    <x v="5"/>
    <x v="1"/>
    <x v="0"/>
    <x v="12"/>
    <x v="3"/>
    <x v="1"/>
    <x v="2"/>
    <x v="37"/>
    <x v="56"/>
    <x v="1"/>
    <x v="2"/>
    <x v="1"/>
    <x v="1"/>
    <x v="4"/>
  </r>
  <r>
    <x v="306"/>
    <x v="7"/>
    <x v="1"/>
    <x v="17"/>
    <x v="1"/>
    <x v="2"/>
    <x v="3"/>
    <x v="11"/>
    <x v="0"/>
    <x v="10"/>
    <x v="3"/>
    <x v="77"/>
    <x v="4"/>
    <x v="4"/>
    <x v="3"/>
    <x v="1"/>
    <x v="0"/>
    <x v="4"/>
  </r>
  <r>
    <x v="307"/>
    <x v="122"/>
    <x v="8"/>
    <x v="1"/>
    <x v="2"/>
    <x v="1"/>
    <x v="3"/>
    <x v="8"/>
    <x v="3"/>
    <x v="11"/>
    <x v="3"/>
    <x v="132"/>
    <x v="131"/>
    <x v="4"/>
    <x v="3"/>
    <x v="2"/>
    <x v="1"/>
    <x v="5"/>
  </r>
  <r>
    <x v="308"/>
    <x v="151"/>
    <x v="0"/>
    <x v="0"/>
    <x v="1"/>
    <x v="2"/>
    <x v="1"/>
    <x v="3"/>
    <x v="1"/>
    <x v="3"/>
    <x v="3"/>
    <x v="40"/>
    <x v="43"/>
    <x v="2"/>
    <x v="5"/>
    <x v="1"/>
    <x v="1"/>
    <x v="11"/>
  </r>
  <r>
    <x v="309"/>
    <x v="84"/>
    <x v="6"/>
    <x v="6"/>
    <x v="4"/>
    <x v="0"/>
    <x v="2"/>
    <x v="0"/>
    <x v="3"/>
    <x v="12"/>
    <x v="0"/>
    <x v="151"/>
    <x v="145"/>
    <x v="1"/>
    <x v="0"/>
    <x v="0"/>
    <x v="1"/>
    <x v="8"/>
  </r>
  <r>
    <x v="310"/>
    <x v="111"/>
    <x v="6"/>
    <x v="4"/>
    <x v="0"/>
    <x v="0"/>
    <x v="4"/>
    <x v="10"/>
    <x v="0"/>
    <x v="7"/>
    <x v="0"/>
    <x v="70"/>
    <x v="29"/>
    <x v="0"/>
    <x v="6"/>
    <x v="1"/>
    <x v="0"/>
    <x v="5"/>
  </r>
  <r>
    <x v="311"/>
    <x v="19"/>
    <x v="8"/>
    <x v="5"/>
    <x v="4"/>
    <x v="0"/>
    <x v="1"/>
    <x v="3"/>
    <x v="3"/>
    <x v="3"/>
    <x v="1"/>
    <x v="58"/>
    <x v="69"/>
    <x v="0"/>
    <x v="2"/>
    <x v="1"/>
    <x v="1"/>
    <x v="4"/>
  </r>
  <r>
    <x v="312"/>
    <x v="56"/>
    <x v="6"/>
    <x v="6"/>
    <x v="4"/>
    <x v="0"/>
    <x v="1"/>
    <x v="13"/>
    <x v="0"/>
    <x v="5"/>
    <x v="3"/>
    <x v="34"/>
    <x v="15"/>
    <x v="2"/>
    <x v="3"/>
    <x v="1"/>
    <x v="0"/>
    <x v="7"/>
  </r>
  <r>
    <x v="313"/>
    <x v="141"/>
    <x v="2"/>
    <x v="2"/>
    <x v="5"/>
    <x v="1"/>
    <x v="3"/>
    <x v="11"/>
    <x v="0"/>
    <x v="10"/>
    <x v="0"/>
    <x v="80"/>
    <x v="29"/>
    <x v="1"/>
    <x v="4"/>
    <x v="1"/>
    <x v="0"/>
    <x v="1"/>
  </r>
  <r>
    <x v="314"/>
    <x v="66"/>
    <x v="8"/>
    <x v="1"/>
    <x v="2"/>
    <x v="1"/>
    <x v="1"/>
    <x v="13"/>
    <x v="0"/>
    <x v="5"/>
    <x v="3"/>
    <x v="34"/>
    <x v="15"/>
    <x v="3"/>
    <x v="1"/>
    <x v="1"/>
    <x v="0"/>
    <x v="0"/>
  </r>
  <r>
    <x v="315"/>
    <x v="90"/>
    <x v="3"/>
    <x v="0"/>
    <x v="1"/>
    <x v="2"/>
    <x v="3"/>
    <x v="11"/>
    <x v="1"/>
    <x v="10"/>
    <x v="1"/>
    <x v="99"/>
    <x v="91"/>
    <x v="1"/>
    <x v="7"/>
    <x v="2"/>
    <x v="1"/>
    <x v="8"/>
  </r>
  <r>
    <x v="316"/>
    <x v="107"/>
    <x v="6"/>
    <x v="8"/>
    <x v="2"/>
    <x v="1"/>
    <x v="3"/>
    <x v="8"/>
    <x v="1"/>
    <x v="11"/>
    <x v="2"/>
    <x v="106"/>
    <x v="93"/>
    <x v="3"/>
    <x v="1"/>
    <x v="2"/>
    <x v="1"/>
    <x v="6"/>
  </r>
  <r>
    <x v="317"/>
    <x v="178"/>
    <x v="6"/>
    <x v="1"/>
    <x v="2"/>
    <x v="1"/>
    <x v="2"/>
    <x v="6"/>
    <x v="2"/>
    <x v="13"/>
    <x v="2"/>
    <x v="146"/>
    <x v="138"/>
    <x v="4"/>
    <x v="0"/>
    <x v="0"/>
    <x v="1"/>
    <x v="9"/>
  </r>
  <r>
    <x v="318"/>
    <x v="92"/>
    <x v="6"/>
    <x v="2"/>
    <x v="5"/>
    <x v="1"/>
    <x v="4"/>
    <x v="10"/>
    <x v="1"/>
    <x v="7"/>
    <x v="1"/>
    <x v="85"/>
    <x v="81"/>
    <x v="1"/>
    <x v="4"/>
    <x v="1"/>
    <x v="1"/>
    <x v="8"/>
  </r>
  <r>
    <x v="319"/>
    <x v="91"/>
    <x v="5"/>
    <x v="14"/>
    <x v="0"/>
    <x v="0"/>
    <x v="0"/>
    <x v="5"/>
    <x v="1"/>
    <x v="2"/>
    <x v="1"/>
    <x v="26"/>
    <x v="37"/>
    <x v="3"/>
    <x v="1"/>
    <x v="1"/>
    <x v="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3"/>
    <x v="0"/>
    <x v="0"/>
  </r>
  <r>
    <x v="1"/>
    <x v="3"/>
    <x v="5"/>
  </r>
  <r>
    <x v="0"/>
    <x v="4"/>
    <x v="3"/>
  </r>
  <r>
    <x v="2"/>
    <x v="1"/>
    <x v="1"/>
  </r>
  <r>
    <x v="4"/>
    <x v="2"/>
    <x v="2"/>
  </r>
  <r>
    <x v="5"/>
    <x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0" cacheId="1" applyNumberFormats="0" applyBorderFormats="0" applyFontFormats="0" applyPatternFormats="0" applyAlignmentFormats="0" applyWidthHeightFormats="0" dataCaption="Values" itemPrintTitles="1" indent="0" outline="1" outlineData="1">
  <location ref="A40:C48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colFields count="1">
    <field x="-2"/>
  </colFields>
  <dataFields count="2">
    <dataField name="Sum of Orders" fld="1" baseField="0" baseItem="0"/>
    <dataField name="Sum of Sales" fld="2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6" cacheId="0" applyNumberFormats="0" applyBorderFormats="0" applyFontFormats="0" applyPatternFormats="0" applyAlignmentFormats="0" applyWidthHeightFormats="0" dataCaption="Values" itemPrintTitles="1" indent="0" outline="1" outlineData="1">
  <location ref="I34:K4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4"/>
  </rowFields>
  <colFields count="1">
    <field x="-2"/>
  </colFields>
  <pageFields count="1">
    <pageField fld="5" hier="-1"/>
  </pageFields>
  <dataFields count="2">
    <dataField name="Sum of Profit" fld="12" baseField="0" baseItem="0" numFmtId="165"/>
    <dataField name="Sum of Sales Amount" fld="11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3" cacheId="0" applyNumberFormats="0" applyBorderFormats="0" applyFontFormats="0" applyPatternFormats="0" applyAlignmentFormats="0" applyWidthHeightFormats="0" dataCaption="Values" itemPrintTitles="1" indent="0" outline="1" outlineData="1">
  <location ref="F66:H76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4"/>
  </rowFields>
  <colFields count="1">
    <field x="-2"/>
  </colFields>
  <pageFields count="1">
    <pageField fld="5" hier="-1"/>
  </pageFields>
  <dataFields count="2">
    <dataField name="Sum of Profit" fld="12" baseField="0" baseItem="0" numFmtId="165"/>
    <dataField name="Sum of Sales Amount" fld="11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1" cacheId="1" applyNumberFormats="0" applyBorderFormats="0" applyFontFormats="0" applyPatternFormats="0" applyAlignmentFormats="0" applyWidthHeightFormats="0" dataCaption="Values" itemPrintTitles="1" indent="0" outline="1" outlineData="1">
  <location ref="A98:C106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colFields count="1">
    <field x="-2"/>
  </colFields>
  <dataFields count="2">
    <dataField name="Sum of Orders" fld="1" baseField="0" baseItem="0"/>
    <dataField name="Sum of Sales" fld="2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5" cacheId="1" applyNumberFormats="0" applyBorderFormats="0" applyFontFormats="0" applyPatternFormats="0" applyAlignmentFormats="0" applyWidthHeightFormats="0" dataCaption="Values" itemPrintTitles="1" indent="0" outline="1" outlineData="1">
  <location ref="A52:C60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colFields count="1">
    <field x="-2"/>
  </colFields>
  <dataFields count="2">
    <dataField name="Sum of Orders" fld="1" baseField="0" baseItem="0"/>
    <dataField name="Sum of Sales" fld="2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7" cacheId="0" applyNumberFormats="0" applyBorderFormats="0" applyFontFormats="0" applyPatternFormats="0" applyAlignmentFormats="0" applyWidthHeightFormats="0" dataCaption="Values" itemPrintTitles="1" indent="0" outline="1" outlineData="1">
  <location ref="I46:K56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4"/>
  </rowFields>
  <colFields count="1">
    <field x="-2"/>
  </colFields>
  <pageFields count="1">
    <pageField fld="5" hier="-1"/>
  </pageFields>
  <dataFields count="2">
    <dataField name="Sum of Profit" fld="12" baseField="0" baseItem="0" numFmtId="165"/>
    <dataField name="Sum of Sales Amount" fld="11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SalesTable" displayName="RawSalesTable" ref="A4:O324" totalsRowShown="0"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City"/>
    <tableColumn id="5" xr3:uid="{00000000-0010-0000-0000-000005000000}" name="State"/>
    <tableColumn id="6" xr3:uid="{00000000-0010-0000-0000-000006000000}" name="Region"/>
    <tableColumn id="7" xr3:uid="{00000000-0010-0000-0000-000007000000}" name="Category"/>
    <tableColumn id="8" xr3:uid="{00000000-0010-0000-0000-000008000000}" name="Product Name"/>
    <tableColumn id="9" xr3:uid="{00000000-0010-0000-0000-000009000000}" name="Quantity"/>
    <tableColumn id="10" xr3:uid="{00000000-0010-0000-0000-00000A000000}" name="Unit Price"/>
    <tableColumn id="11" xr3:uid="{00000000-0010-0000-0000-00000B000000}" name="Discount %"/>
    <tableColumn id="12" xr3:uid="{00000000-0010-0000-0000-00000C000000}" name="Sales Amount"/>
    <tableColumn id="13" xr3:uid="{00000000-0010-0000-0000-00000D000000}" name="Profit"/>
    <tableColumn id="14" xr3:uid="{00000000-0010-0000-0000-00000E000000}" name="Payment Mode"/>
    <tableColumn id="15" xr3:uid="{00000000-0010-0000-0000-00000F000000}" name="Salespers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SalesTable" displayName="CleanSalesTable" ref="A4:R324" totalsRowShown="0">
  <autoFilter ref="A4:R324" xr:uid="{00000000-0009-0000-0100-000001000000}"/>
  <tableColumns count="18">
    <tableColumn id="1" xr3:uid="{00000000-0010-0000-0100-000001000000}" name="Order ID"/>
    <tableColumn id="2" xr3:uid="{00000000-0010-0000-0100-000002000000}" name="Order Date"/>
    <tableColumn id="3" xr3:uid="{00000000-0010-0000-0100-000003000000}" name="Customer Name"/>
    <tableColumn id="4" xr3:uid="{00000000-0010-0000-0100-000004000000}" name="City"/>
    <tableColumn id="5" xr3:uid="{00000000-0010-0000-0100-000005000000}" name="State"/>
    <tableColumn id="6" xr3:uid="{00000000-0010-0000-0100-000006000000}" name="Region"/>
    <tableColumn id="7" xr3:uid="{00000000-0010-0000-0100-000007000000}" name="Category"/>
    <tableColumn id="8" xr3:uid="{00000000-0010-0000-0100-000008000000}" name="Product Name"/>
    <tableColumn id="9" xr3:uid="{00000000-0010-0000-0100-000009000000}" name="Quantity"/>
    <tableColumn id="10" xr3:uid="{00000000-0010-0000-0100-00000A000000}" name="Unit Price"/>
    <tableColumn id="11" xr3:uid="{00000000-0010-0000-0100-00000B000000}" name="Discount %"/>
    <tableColumn id="12" xr3:uid="{00000000-0010-0000-0100-00000C000000}" name="Sales Amount"/>
    <tableColumn id="13" xr3:uid="{00000000-0010-0000-0100-00000D000000}" name="Profit"/>
    <tableColumn id="14" xr3:uid="{00000000-0010-0000-0100-00000E000000}" name="Payment Mode"/>
    <tableColumn id="15" xr3:uid="{00000000-0010-0000-0100-00000F000000}" name="Salesperson"/>
    <tableColumn id="16" xr3:uid="{00000000-0010-0000-0100-000010000000}" name="Sales Level"/>
    <tableColumn id="17" xr3:uid="{00000000-0010-0000-0100-000011000000}" name="Profit Status"/>
    <tableColumn id="18" xr3:uid="{00000000-0010-0000-0100-000012000000}" name="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A3AF"/>
  </sheetPr>
  <dimension ref="A1:O324"/>
  <sheetViews>
    <sheetView zoomScaleNormal="100" workbookViewId="0">
      <selection activeCell="P1" sqref="P1"/>
    </sheetView>
  </sheetViews>
  <sheetFormatPr defaultColWidth="8.7109375" defaultRowHeight="15" x14ac:dyDescent="0.25"/>
  <cols>
    <col min="1" max="2" width="14" customWidth="1"/>
    <col min="3" max="3" width="18" customWidth="1"/>
    <col min="4" max="7" width="14" customWidth="1"/>
    <col min="8" max="8" width="20" customWidth="1"/>
    <col min="9" max="9" width="10" customWidth="1"/>
    <col min="10" max="13" width="14" customWidth="1"/>
    <col min="14" max="15" width="15" customWidth="1"/>
  </cols>
  <sheetData>
    <row r="1" spans="1:15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4" spans="1:15" ht="15" customHeight="1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4" t="s">
        <v>15</v>
      </c>
    </row>
    <row r="5" spans="1:15" x14ac:dyDescent="0.25">
      <c r="A5" s="5" t="s">
        <v>16</v>
      </c>
      <c r="B5" s="6">
        <v>45691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2</v>
      </c>
      <c r="J5" s="7">
        <v>1500</v>
      </c>
      <c r="K5" s="8">
        <v>0</v>
      </c>
      <c r="L5" s="7">
        <v>3000</v>
      </c>
      <c r="M5" s="7">
        <f>RawSalesTable[[#This Row],[Sales Amount]]-RawSalesTable[[#This Row],[Quantity]]*RawSalesTable[[#This Row],[Unit Price]]</f>
        <v>0</v>
      </c>
      <c r="N5" t="s">
        <v>23</v>
      </c>
      <c r="O5" s="9" t="s">
        <v>24</v>
      </c>
    </row>
    <row r="6" spans="1:15" x14ac:dyDescent="0.25">
      <c r="A6" s="5" t="s">
        <v>25</v>
      </c>
      <c r="B6" s="6">
        <v>45909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2</v>
      </c>
      <c r="J6" s="7">
        <v>3200</v>
      </c>
      <c r="K6" s="8">
        <v>0</v>
      </c>
      <c r="L6" s="7">
        <v>6400</v>
      </c>
      <c r="M6" s="7">
        <f>RawSalesTable[[#This Row],[Sales Amount]]-RawSalesTable[[#This Row],[Quantity]]*RawSalesTable[[#This Row],[Unit Price]]</f>
        <v>0</v>
      </c>
      <c r="N6" t="s">
        <v>23</v>
      </c>
      <c r="O6" s="9" t="s">
        <v>32</v>
      </c>
    </row>
    <row r="7" spans="1:15" x14ac:dyDescent="0.25">
      <c r="A7" s="5" t="s">
        <v>33</v>
      </c>
      <c r="B7" s="6">
        <v>45837</v>
      </c>
      <c r="C7" t="s">
        <v>34</v>
      </c>
      <c r="D7" t="s">
        <v>35</v>
      </c>
      <c r="E7" t="s">
        <v>36</v>
      </c>
      <c r="F7" t="s">
        <v>29</v>
      </c>
      <c r="G7" t="s">
        <v>30</v>
      </c>
      <c r="H7" t="s">
        <v>37</v>
      </c>
      <c r="I7">
        <v>1</v>
      </c>
      <c r="J7" s="7">
        <v>2800</v>
      </c>
      <c r="K7" s="8">
        <v>0.1</v>
      </c>
      <c r="L7" s="7">
        <v>2520</v>
      </c>
      <c r="M7" s="7">
        <f>RawSalesTable[[#This Row],[Sales Amount]]-RawSalesTable[[#This Row],[Quantity]]*RawSalesTable[[#This Row],[Unit Price]]</f>
        <v>-280</v>
      </c>
      <c r="N7" t="s">
        <v>38</v>
      </c>
      <c r="O7" s="9" t="s">
        <v>39</v>
      </c>
    </row>
    <row r="8" spans="1:15" x14ac:dyDescent="0.25">
      <c r="A8" s="5" t="s">
        <v>40</v>
      </c>
      <c r="B8" s="6">
        <v>45730</v>
      </c>
      <c r="C8" t="s">
        <v>26</v>
      </c>
      <c r="D8" t="s">
        <v>41</v>
      </c>
      <c r="E8" t="s">
        <v>42</v>
      </c>
      <c r="F8" t="s">
        <v>43</v>
      </c>
      <c r="G8" t="s">
        <v>21</v>
      </c>
      <c r="H8" t="s">
        <v>44</v>
      </c>
      <c r="I8">
        <v>2</v>
      </c>
      <c r="J8" s="7">
        <v>1200</v>
      </c>
      <c r="K8" s="8">
        <v>0.15</v>
      </c>
      <c r="L8" s="7">
        <v>2040</v>
      </c>
      <c r="M8" s="7">
        <f>RawSalesTable[[#This Row],[Sales Amount]]-RawSalesTable[[#This Row],[Quantity]]*RawSalesTable[[#This Row],[Unit Price]]</f>
        <v>-360</v>
      </c>
      <c r="N8" t="s">
        <v>38</v>
      </c>
      <c r="O8" s="9" t="s">
        <v>39</v>
      </c>
    </row>
    <row r="9" spans="1:15" x14ac:dyDescent="0.25">
      <c r="A9" s="5" t="s">
        <v>45</v>
      </c>
      <c r="B9" s="6">
        <v>46020</v>
      </c>
      <c r="C9" t="s">
        <v>46</v>
      </c>
      <c r="D9" t="s">
        <v>47</v>
      </c>
      <c r="E9" t="s">
        <v>19</v>
      </c>
      <c r="F9" t="s">
        <v>20</v>
      </c>
      <c r="G9" t="s">
        <v>48</v>
      </c>
      <c r="H9" t="s">
        <v>49</v>
      </c>
      <c r="I9">
        <v>2</v>
      </c>
      <c r="J9" s="7">
        <v>13500</v>
      </c>
      <c r="K9" s="8">
        <v>0.1</v>
      </c>
      <c r="L9" s="7">
        <v>24300</v>
      </c>
      <c r="M9" s="7">
        <f>RawSalesTable[[#This Row],[Sales Amount]]-RawSalesTable[[#This Row],[Quantity]]*RawSalesTable[[#This Row],[Unit Price]]</f>
        <v>-2700</v>
      </c>
      <c r="N9" t="s">
        <v>50</v>
      </c>
      <c r="O9" s="9" t="s">
        <v>51</v>
      </c>
    </row>
    <row r="10" spans="1:15" x14ac:dyDescent="0.25">
      <c r="A10" s="5" t="s">
        <v>52</v>
      </c>
      <c r="B10" s="6">
        <v>45951</v>
      </c>
      <c r="C10" t="s">
        <v>53</v>
      </c>
      <c r="D10" t="s">
        <v>41</v>
      </c>
      <c r="E10" t="s">
        <v>42</v>
      </c>
      <c r="F10" t="s">
        <v>43</v>
      </c>
      <c r="G10" t="s">
        <v>54</v>
      </c>
      <c r="H10" t="s">
        <v>55</v>
      </c>
      <c r="I10">
        <v>2</v>
      </c>
      <c r="J10" s="7">
        <v>58000</v>
      </c>
      <c r="K10" s="8">
        <v>0.05</v>
      </c>
      <c r="L10" s="7">
        <v>110200</v>
      </c>
      <c r="M10" s="7">
        <f>RawSalesTable[[#This Row],[Sales Amount]]-RawSalesTable[[#This Row],[Quantity]]*RawSalesTable[[#This Row],[Unit Price]]</f>
        <v>-5800</v>
      </c>
      <c r="N10" t="s">
        <v>38</v>
      </c>
      <c r="O10" s="9" t="s">
        <v>32</v>
      </c>
    </row>
    <row r="11" spans="1:15" x14ac:dyDescent="0.25">
      <c r="A11" s="5" t="s">
        <v>56</v>
      </c>
      <c r="B11" s="6">
        <v>45738</v>
      </c>
      <c r="C11" t="s">
        <v>17</v>
      </c>
      <c r="D11" t="s">
        <v>27</v>
      </c>
      <c r="E11" t="s">
        <v>28</v>
      </c>
      <c r="F11" t="s">
        <v>29</v>
      </c>
      <c r="G11" t="s">
        <v>30</v>
      </c>
      <c r="H11" t="s">
        <v>57</v>
      </c>
      <c r="I11">
        <v>1</v>
      </c>
      <c r="J11" s="7">
        <v>4500</v>
      </c>
      <c r="K11" s="8">
        <v>0.05</v>
      </c>
      <c r="L11" s="7">
        <v>4275</v>
      </c>
      <c r="M11" s="7">
        <f>RawSalesTable[[#This Row],[Sales Amount]]-RawSalesTable[[#This Row],[Quantity]]*RawSalesTable[[#This Row],[Unit Price]]</f>
        <v>-225</v>
      </c>
      <c r="N11" t="s">
        <v>58</v>
      </c>
      <c r="O11" s="9" t="s">
        <v>59</v>
      </c>
    </row>
    <row r="12" spans="1:15" x14ac:dyDescent="0.25">
      <c r="A12" s="5" t="s">
        <v>60</v>
      </c>
      <c r="B12" s="6">
        <v>45764</v>
      </c>
      <c r="C12" t="s">
        <v>61</v>
      </c>
      <c r="D12" t="s">
        <v>62</v>
      </c>
      <c r="E12" t="s">
        <v>28</v>
      </c>
      <c r="F12" t="s">
        <v>29</v>
      </c>
      <c r="G12" t="s">
        <v>54</v>
      </c>
      <c r="H12" t="s">
        <v>63</v>
      </c>
      <c r="I12">
        <v>2</v>
      </c>
      <c r="J12" s="7">
        <v>61000</v>
      </c>
      <c r="K12" s="8">
        <v>0</v>
      </c>
      <c r="L12" s="7">
        <v>122000</v>
      </c>
      <c r="M12" s="7">
        <f>RawSalesTable[[#This Row],[Sales Amount]]-RawSalesTable[[#This Row],[Quantity]]*RawSalesTable[[#This Row],[Unit Price]]</f>
        <v>0</v>
      </c>
      <c r="N12" t="s">
        <v>23</v>
      </c>
      <c r="O12" s="9" t="s">
        <v>32</v>
      </c>
    </row>
    <row r="13" spans="1:15" x14ac:dyDescent="0.25">
      <c r="A13" s="5" t="s">
        <v>64</v>
      </c>
      <c r="B13" s="6">
        <v>45812</v>
      </c>
      <c r="C13" t="s">
        <v>17</v>
      </c>
      <c r="D13" t="s">
        <v>27</v>
      </c>
      <c r="E13" t="s">
        <v>28</v>
      </c>
      <c r="F13" t="s">
        <v>29</v>
      </c>
      <c r="G13" t="s">
        <v>54</v>
      </c>
      <c r="H13" t="s">
        <v>55</v>
      </c>
      <c r="I13">
        <v>3</v>
      </c>
      <c r="J13" s="7">
        <v>58000</v>
      </c>
      <c r="K13" s="8">
        <v>0</v>
      </c>
      <c r="L13" s="7">
        <v>174000</v>
      </c>
      <c r="M13" s="7">
        <f>RawSalesTable[[#This Row],[Sales Amount]]-RawSalesTable[[#This Row],[Quantity]]*RawSalesTable[[#This Row],[Unit Price]]</f>
        <v>0</v>
      </c>
      <c r="N13" t="s">
        <v>23</v>
      </c>
      <c r="O13" s="9" t="s">
        <v>32</v>
      </c>
    </row>
    <row r="14" spans="1:15" x14ac:dyDescent="0.25">
      <c r="A14" s="5" t="s">
        <v>65</v>
      </c>
      <c r="B14" s="6">
        <v>45669</v>
      </c>
      <c r="C14" t="s">
        <v>17</v>
      </c>
      <c r="D14" t="s">
        <v>27</v>
      </c>
      <c r="E14" t="s">
        <v>28</v>
      </c>
      <c r="F14" t="s">
        <v>29</v>
      </c>
      <c r="G14" t="s">
        <v>30</v>
      </c>
      <c r="H14" t="s">
        <v>57</v>
      </c>
      <c r="I14">
        <v>1</v>
      </c>
      <c r="J14" s="7">
        <v>4500</v>
      </c>
      <c r="K14" s="8">
        <v>0.15</v>
      </c>
      <c r="L14" s="7">
        <v>3825</v>
      </c>
      <c r="M14" s="7">
        <f>RawSalesTable[[#This Row],[Sales Amount]]-RawSalesTable[[#This Row],[Quantity]]*RawSalesTable[[#This Row],[Unit Price]]</f>
        <v>-675</v>
      </c>
      <c r="N14" t="s">
        <v>58</v>
      </c>
      <c r="O14" s="9" t="s">
        <v>59</v>
      </c>
    </row>
    <row r="15" spans="1:15" x14ac:dyDescent="0.25">
      <c r="A15" s="5" t="s">
        <v>66</v>
      </c>
      <c r="B15" s="6">
        <v>45755</v>
      </c>
      <c r="C15" t="s">
        <v>17</v>
      </c>
      <c r="D15" t="s">
        <v>67</v>
      </c>
      <c r="E15" t="s">
        <v>36</v>
      </c>
      <c r="F15" t="s">
        <v>29</v>
      </c>
      <c r="G15" t="s">
        <v>54</v>
      </c>
      <c r="H15" t="s">
        <v>68</v>
      </c>
      <c r="I15">
        <v>1</v>
      </c>
      <c r="J15" s="7">
        <v>52000</v>
      </c>
      <c r="K15" s="8">
        <v>0.05</v>
      </c>
      <c r="L15" s="7">
        <v>49400</v>
      </c>
      <c r="M15" s="7">
        <f>RawSalesTable[[#This Row],[Sales Amount]]-RawSalesTable[[#This Row],[Quantity]]*RawSalesTable[[#This Row],[Unit Price]]</f>
        <v>-2600</v>
      </c>
      <c r="N15" t="s">
        <v>23</v>
      </c>
      <c r="O15" s="9" t="s">
        <v>32</v>
      </c>
    </row>
    <row r="16" spans="1:15" x14ac:dyDescent="0.25">
      <c r="A16" s="5" t="s">
        <v>69</v>
      </c>
      <c r="B16" s="6">
        <v>45750</v>
      </c>
      <c r="C16" t="s">
        <v>70</v>
      </c>
      <c r="D16" t="s">
        <v>71</v>
      </c>
      <c r="E16" t="s">
        <v>72</v>
      </c>
      <c r="F16" t="s">
        <v>43</v>
      </c>
      <c r="G16" t="s">
        <v>30</v>
      </c>
      <c r="H16" t="s">
        <v>57</v>
      </c>
      <c r="I16">
        <v>4</v>
      </c>
      <c r="J16" s="7">
        <v>4500</v>
      </c>
      <c r="K16" s="8">
        <v>0</v>
      </c>
      <c r="L16" s="7">
        <v>18000</v>
      </c>
      <c r="M16" s="7">
        <f>RawSalesTable[[#This Row],[Sales Amount]]-RawSalesTable[[#This Row],[Quantity]]*RawSalesTable[[#This Row],[Unit Price]]</f>
        <v>0</v>
      </c>
      <c r="N16" t="s">
        <v>73</v>
      </c>
      <c r="O16" s="9" t="s">
        <v>74</v>
      </c>
    </row>
    <row r="17" spans="1:15" x14ac:dyDescent="0.25">
      <c r="A17" s="5" t="s">
        <v>75</v>
      </c>
      <c r="B17" s="6">
        <v>45690</v>
      </c>
      <c r="C17" t="s">
        <v>70</v>
      </c>
      <c r="D17" t="s">
        <v>76</v>
      </c>
      <c r="E17" t="s">
        <v>42</v>
      </c>
      <c r="F17" t="s">
        <v>43</v>
      </c>
      <c r="G17" t="s">
        <v>77</v>
      </c>
      <c r="H17" t="s">
        <v>78</v>
      </c>
      <c r="I17">
        <v>3</v>
      </c>
      <c r="J17" s="7">
        <v>21000</v>
      </c>
      <c r="K17" s="8">
        <v>0.1</v>
      </c>
      <c r="L17" s="7">
        <v>56700</v>
      </c>
      <c r="M17" s="7">
        <f>RawSalesTable[[#This Row],[Sales Amount]]-RawSalesTable[[#This Row],[Quantity]]*RawSalesTable[[#This Row],[Unit Price]]</f>
        <v>-6300</v>
      </c>
      <c r="N17" t="s">
        <v>73</v>
      </c>
      <c r="O17" s="9" t="s">
        <v>79</v>
      </c>
    </row>
    <row r="18" spans="1:15" x14ac:dyDescent="0.25">
      <c r="A18" s="5" t="s">
        <v>80</v>
      </c>
      <c r="B18" s="6">
        <v>45967</v>
      </c>
      <c r="C18" t="s">
        <v>61</v>
      </c>
      <c r="D18" t="s">
        <v>81</v>
      </c>
      <c r="E18" t="s">
        <v>72</v>
      </c>
      <c r="F18" t="s">
        <v>43</v>
      </c>
      <c r="G18" t="s">
        <v>21</v>
      </c>
      <c r="H18" t="s">
        <v>82</v>
      </c>
      <c r="I18">
        <v>2</v>
      </c>
      <c r="J18" s="7">
        <v>900</v>
      </c>
      <c r="K18" s="8">
        <v>0.1</v>
      </c>
      <c r="L18" s="7">
        <v>1620</v>
      </c>
      <c r="M18" s="7">
        <f>RawSalesTable[[#This Row],[Sales Amount]]-RawSalesTable[[#This Row],[Quantity]]*RawSalesTable[[#This Row],[Unit Price]]</f>
        <v>-180</v>
      </c>
      <c r="N18" t="s">
        <v>73</v>
      </c>
      <c r="O18" s="9" t="s">
        <v>74</v>
      </c>
    </row>
    <row r="19" spans="1:15" x14ac:dyDescent="0.25">
      <c r="A19" s="5" t="s">
        <v>83</v>
      </c>
      <c r="B19" s="6">
        <v>45817</v>
      </c>
      <c r="C19" t="s">
        <v>84</v>
      </c>
      <c r="D19" t="s">
        <v>35</v>
      </c>
      <c r="E19" t="s">
        <v>36</v>
      </c>
      <c r="F19" t="s">
        <v>29</v>
      </c>
      <c r="G19" t="s">
        <v>21</v>
      </c>
      <c r="H19" t="s">
        <v>82</v>
      </c>
      <c r="I19">
        <v>4</v>
      </c>
      <c r="J19" s="7">
        <v>900</v>
      </c>
      <c r="K19" s="8">
        <v>0</v>
      </c>
      <c r="L19" s="7">
        <v>3600</v>
      </c>
      <c r="M19" s="7">
        <f>RawSalesTable[[#This Row],[Sales Amount]]-RawSalesTable[[#This Row],[Quantity]]*RawSalesTable[[#This Row],[Unit Price]]</f>
        <v>0</v>
      </c>
      <c r="N19" t="s">
        <v>38</v>
      </c>
      <c r="O19" s="9" t="s">
        <v>74</v>
      </c>
    </row>
    <row r="20" spans="1:15" x14ac:dyDescent="0.25">
      <c r="A20" s="5" t="s">
        <v>85</v>
      </c>
      <c r="B20" s="6">
        <v>45949</v>
      </c>
      <c r="C20" t="s">
        <v>34</v>
      </c>
      <c r="D20" t="s">
        <v>86</v>
      </c>
      <c r="E20" t="s">
        <v>87</v>
      </c>
      <c r="F20" t="s">
        <v>20</v>
      </c>
      <c r="G20" t="s">
        <v>77</v>
      </c>
      <c r="H20" t="s">
        <v>78</v>
      </c>
      <c r="I20">
        <v>2</v>
      </c>
      <c r="J20" s="7">
        <v>21000</v>
      </c>
      <c r="K20" s="8">
        <v>0.05</v>
      </c>
      <c r="L20" s="7">
        <v>39900</v>
      </c>
      <c r="M20" s="7">
        <f>RawSalesTable[[#This Row],[Sales Amount]]-RawSalesTable[[#This Row],[Quantity]]*RawSalesTable[[#This Row],[Unit Price]]</f>
        <v>-2100</v>
      </c>
      <c r="N20" t="s">
        <v>58</v>
      </c>
      <c r="O20" s="9" t="s">
        <v>32</v>
      </c>
    </row>
    <row r="21" spans="1:15" x14ac:dyDescent="0.25">
      <c r="A21" s="5" t="s">
        <v>88</v>
      </c>
      <c r="B21" s="6">
        <v>45880</v>
      </c>
      <c r="C21" t="s">
        <v>70</v>
      </c>
      <c r="D21" t="s">
        <v>89</v>
      </c>
      <c r="E21" t="s">
        <v>87</v>
      </c>
      <c r="F21" t="s">
        <v>20</v>
      </c>
      <c r="G21" t="s">
        <v>48</v>
      </c>
      <c r="H21" t="s">
        <v>90</v>
      </c>
      <c r="I21">
        <v>1</v>
      </c>
      <c r="J21" s="7">
        <v>14500</v>
      </c>
      <c r="K21" s="8">
        <v>0</v>
      </c>
      <c r="L21" s="7">
        <v>14500</v>
      </c>
      <c r="M21" s="7">
        <f>RawSalesTable[[#This Row],[Sales Amount]]-RawSalesTable[[#This Row],[Quantity]]*RawSalesTable[[#This Row],[Unit Price]]</f>
        <v>0</v>
      </c>
      <c r="N21" t="s">
        <v>50</v>
      </c>
      <c r="O21" s="9" t="s">
        <v>51</v>
      </c>
    </row>
    <row r="22" spans="1:15" x14ac:dyDescent="0.25">
      <c r="A22" s="5" t="s">
        <v>91</v>
      </c>
      <c r="B22" s="6">
        <v>45742</v>
      </c>
      <c r="C22" t="s">
        <v>84</v>
      </c>
      <c r="D22" t="s">
        <v>92</v>
      </c>
      <c r="E22" t="s">
        <v>42</v>
      </c>
      <c r="F22" t="s">
        <v>43</v>
      </c>
      <c r="G22" t="s">
        <v>30</v>
      </c>
      <c r="H22" t="s">
        <v>31</v>
      </c>
      <c r="I22">
        <v>3</v>
      </c>
      <c r="J22" s="7">
        <v>3200</v>
      </c>
      <c r="K22" s="8">
        <v>0</v>
      </c>
      <c r="L22" s="7">
        <v>9600</v>
      </c>
      <c r="M22" s="7">
        <f>RawSalesTable[[#This Row],[Sales Amount]]-RawSalesTable[[#This Row],[Quantity]]*RawSalesTable[[#This Row],[Unit Price]]</f>
        <v>0</v>
      </c>
      <c r="N22" t="s">
        <v>73</v>
      </c>
      <c r="O22" s="9" t="s">
        <v>79</v>
      </c>
    </row>
    <row r="23" spans="1:15" x14ac:dyDescent="0.25">
      <c r="A23" s="5" t="s">
        <v>93</v>
      </c>
      <c r="B23" s="6">
        <v>45683</v>
      </c>
      <c r="C23" t="s">
        <v>94</v>
      </c>
      <c r="D23" t="s">
        <v>95</v>
      </c>
      <c r="E23" t="s">
        <v>87</v>
      </c>
      <c r="F23" t="s">
        <v>20</v>
      </c>
      <c r="G23" t="s">
        <v>48</v>
      </c>
      <c r="H23" t="s">
        <v>90</v>
      </c>
      <c r="I23">
        <v>4</v>
      </c>
      <c r="J23" s="7">
        <v>14500</v>
      </c>
      <c r="K23" s="8">
        <v>0.15</v>
      </c>
      <c r="L23" s="7">
        <v>49300</v>
      </c>
      <c r="M23" s="7">
        <f>RawSalesTable[[#This Row],[Sales Amount]]-RawSalesTable[[#This Row],[Quantity]]*RawSalesTable[[#This Row],[Unit Price]]</f>
        <v>-8700</v>
      </c>
      <c r="N23" t="s">
        <v>50</v>
      </c>
      <c r="O23" s="9" t="s">
        <v>74</v>
      </c>
    </row>
    <row r="24" spans="1:15" x14ac:dyDescent="0.25">
      <c r="A24" s="5" t="s">
        <v>96</v>
      </c>
      <c r="B24" s="6">
        <v>45826</v>
      </c>
      <c r="C24" t="s">
        <v>84</v>
      </c>
      <c r="D24" t="s">
        <v>71</v>
      </c>
      <c r="E24" t="s">
        <v>72</v>
      </c>
      <c r="F24" t="s">
        <v>43</v>
      </c>
      <c r="G24" t="s">
        <v>48</v>
      </c>
      <c r="H24" t="s">
        <v>90</v>
      </c>
      <c r="I24">
        <v>4</v>
      </c>
      <c r="J24" s="7">
        <v>14500</v>
      </c>
      <c r="K24" s="8">
        <v>0.05</v>
      </c>
      <c r="L24" s="7">
        <v>55100</v>
      </c>
      <c r="M24" s="7">
        <f>RawSalesTable[[#This Row],[Sales Amount]]-RawSalesTable[[#This Row],[Quantity]]*RawSalesTable[[#This Row],[Unit Price]]</f>
        <v>-2900</v>
      </c>
      <c r="N24" t="s">
        <v>58</v>
      </c>
      <c r="O24" s="9" t="s">
        <v>97</v>
      </c>
    </row>
    <row r="25" spans="1:15" x14ac:dyDescent="0.25">
      <c r="A25" s="5" t="s">
        <v>98</v>
      </c>
      <c r="B25" s="6">
        <v>45924</v>
      </c>
      <c r="C25" t="s">
        <v>94</v>
      </c>
      <c r="D25" t="s">
        <v>47</v>
      </c>
      <c r="E25" t="s">
        <v>19</v>
      </c>
      <c r="F25" t="s">
        <v>20</v>
      </c>
      <c r="G25" t="s">
        <v>77</v>
      </c>
      <c r="H25" t="s">
        <v>99</v>
      </c>
      <c r="I25">
        <v>3</v>
      </c>
      <c r="J25" s="7">
        <v>24000</v>
      </c>
      <c r="K25" s="8">
        <v>0</v>
      </c>
      <c r="L25" s="7">
        <v>72000</v>
      </c>
      <c r="M25" s="7">
        <f>RawSalesTable[[#This Row],[Sales Amount]]-RawSalesTable[[#This Row],[Quantity]]*RawSalesTable[[#This Row],[Unit Price]]</f>
        <v>0</v>
      </c>
      <c r="N25" t="s">
        <v>50</v>
      </c>
      <c r="O25" s="9" t="s">
        <v>97</v>
      </c>
    </row>
    <row r="26" spans="1:15" x14ac:dyDescent="0.25">
      <c r="A26" s="5" t="s">
        <v>100</v>
      </c>
      <c r="B26" s="6">
        <v>45682</v>
      </c>
      <c r="C26" t="s">
        <v>46</v>
      </c>
      <c r="D26" t="s">
        <v>86</v>
      </c>
      <c r="E26" t="s">
        <v>87</v>
      </c>
      <c r="F26" t="s">
        <v>20</v>
      </c>
      <c r="G26" t="s">
        <v>54</v>
      </c>
      <c r="H26" t="s">
        <v>68</v>
      </c>
      <c r="I26">
        <v>1</v>
      </c>
      <c r="J26" s="7">
        <v>52000</v>
      </c>
      <c r="K26" s="8">
        <v>0.15</v>
      </c>
      <c r="L26" s="7">
        <v>44200</v>
      </c>
      <c r="M26" s="7">
        <f>RawSalesTable[[#This Row],[Sales Amount]]-RawSalesTable[[#This Row],[Quantity]]*RawSalesTable[[#This Row],[Unit Price]]</f>
        <v>-7800</v>
      </c>
      <c r="N26" t="s">
        <v>73</v>
      </c>
      <c r="O26" s="9" t="s">
        <v>59</v>
      </c>
    </row>
    <row r="27" spans="1:15" x14ac:dyDescent="0.25">
      <c r="A27" s="5" t="s">
        <v>101</v>
      </c>
      <c r="B27" s="6">
        <v>45994</v>
      </c>
      <c r="C27" t="s">
        <v>53</v>
      </c>
      <c r="D27" t="s">
        <v>102</v>
      </c>
      <c r="E27" t="s">
        <v>36</v>
      </c>
      <c r="F27" t="s">
        <v>29</v>
      </c>
      <c r="G27" t="s">
        <v>30</v>
      </c>
      <c r="H27" t="s">
        <v>31</v>
      </c>
      <c r="I27">
        <v>2</v>
      </c>
      <c r="J27" s="7">
        <v>3200</v>
      </c>
      <c r="K27" s="8">
        <v>0.05</v>
      </c>
      <c r="L27" s="7">
        <v>6080</v>
      </c>
      <c r="M27" s="7">
        <f>RawSalesTable[[#This Row],[Sales Amount]]-RawSalesTable[[#This Row],[Quantity]]*RawSalesTable[[#This Row],[Unit Price]]</f>
        <v>-320</v>
      </c>
      <c r="N27" t="s">
        <v>38</v>
      </c>
      <c r="O27" s="9" t="s">
        <v>24</v>
      </c>
    </row>
    <row r="28" spans="1:15" x14ac:dyDescent="0.25">
      <c r="A28" s="5" t="s">
        <v>103</v>
      </c>
      <c r="B28" s="6">
        <v>45690</v>
      </c>
      <c r="C28" t="s">
        <v>61</v>
      </c>
      <c r="D28" t="s">
        <v>104</v>
      </c>
      <c r="E28" t="s">
        <v>19</v>
      </c>
      <c r="F28" t="s">
        <v>20</v>
      </c>
      <c r="G28" t="s">
        <v>48</v>
      </c>
      <c r="H28" t="s">
        <v>105</v>
      </c>
      <c r="I28">
        <v>3</v>
      </c>
      <c r="J28" s="7">
        <v>21000</v>
      </c>
      <c r="K28" s="8">
        <v>0.15</v>
      </c>
      <c r="L28" s="7">
        <v>53550</v>
      </c>
      <c r="M28" s="7">
        <f>RawSalesTable[[#This Row],[Sales Amount]]-RawSalesTable[[#This Row],[Quantity]]*RawSalesTable[[#This Row],[Unit Price]]</f>
        <v>-9450</v>
      </c>
      <c r="N28" t="s">
        <v>50</v>
      </c>
      <c r="O28" s="9" t="s">
        <v>24</v>
      </c>
    </row>
    <row r="29" spans="1:15" x14ac:dyDescent="0.25">
      <c r="A29" s="5" t="s">
        <v>106</v>
      </c>
      <c r="B29" s="6">
        <v>45992</v>
      </c>
      <c r="C29" t="s">
        <v>94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>
        <v>2</v>
      </c>
      <c r="J29" s="7">
        <v>1500</v>
      </c>
      <c r="K29" s="8">
        <v>0.15</v>
      </c>
      <c r="L29" s="7">
        <v>2550</v>
      </c>
      <c r="M29" s="7">
        <f>RawSalesTable[[#This Row],[Sales Amount]]-RawSalesTable[[#This Row],[Quantity]]*RawSalesTable[[#This Row],[Unit Price]]</f>
        <v>-450</v>
      </c>
      <c r="N29" t="s">
        <v>23</v>
      </c>
      <c r="O29" s="9" t="s">
        <v>74</v>
      </c>
    </row>
    <row r="30" spans="1:15" x14ac:dyDescent="0.25">
      <c r="A30" s="5" t="s">
        <v>107</v>
      </c>
      <c r="B30" s="6">
        <v>45986</v>
      </c>
      <c r="C30" t="s">
        <v>46</v>
      </c>
      <c r="D30" t="s">
        <v>41</v>
      </c>
      <c r="E30" t="s">
        <v>42</v>
      </c>
      <c r="F30" t="s">
        <v>43</v>
      </c>
      <c r="G30" t="s">
        <v>21</v>
      </c>
      <c r="H30" t="s">
        <v>82</v>
      </c>
      <c r="I30">
        <v>3</v>
      </c>
      <c r="J30" s="7">
        <v>900</v>
      </c>
      <c r="K30" s="8">
        <v>0.05</v>
      </c>
      <c r="L30" s="7">
        <v>2565</v>
      </c>
      <c r="M30" s="7">
        <f>RawSalesTable[[#This Row],[Sales Amount]]-RawSalesTable[[#This Row],[Quantity]]*RawSalesTable[[#This Row],[Unit Price]]</f>
        <v>-135</v>
      </c>
      <c r="N30" t="s">
        <v>38</v>
      </c>
      <c r="O30" s="9" t="s">
        <v>59</v>
      </c>
    </row>
    <row r="31" spans="1:15" x14ac:dyDescent="0.25">
      <c r="A31" s="5" t="s">
        <v>108</v>
      </c>
      <c r="B31" s="6">
        <v>45927</v>
      </c>
      <c r="C31" t="s">
        <v>61</v>
      </c>
      <c r="D31" t="s">
        <v>27</v>
      </c>
      <c r="E31" t="s">
        <v>28</v>
      </c>
      <c r="F31" t="s">
        <v>29</v>
      </c>
      <c r="G31" t="s">
        <v>21</v>
      </c>
      <c r="H31" t="s">
        <v>82</v>
      </c>
      <c r="I31">
        <v>2</v>
      </c>
      <c r="J31" s="7">
        <v>900</v>
      </c>
      <c r="K31" s="8">
        <v>0</v>
      </c>
      <c r="L31" s="7">
        <v>1800</v>
      </c>
      <c r="M31" s="7">
        <f>RawSalesTable[[#This Row],[Sales Amount]]-RawSalesTable[[#This Row],[Quantity]]*RawSalesTable[[#This Row],[Unit Price]]</f>
        <v>0</v>
      </c>
      <c r="N31" t="s">
        <v>23</v>
      </c>
      <c r="O31" s="9" t="s">
        <v>51</v>
      </c>
    </row>
    <row r="32" spans="1:15" x14ac:dyDescent="0.25">
      <c r="A32" s="5" t="s">
        <v>109</v>
      </c>
      <c r="B32" s="6">
        <v>45736</v>
      </c>
      <c r="C32" t="s">
        <v>94</v>
      </c>
      <c r="D32" t="s">
        <v>110</v>
      </c>
      <c r="E32" t="s">
        <v>72</v>
      </c>
      <c r="F32" t="s">
        <v>43</v>
      </c>
      <c r="G32" t="s">
        <v>77</v>
      </c>
      <c r="H32" t="s">
        <v>111</v>
      </c>
      <c r="I32">
        <v>1</v>
      </c>
      <c r="J32" s="7">
        <v>29000</v>
      </c>
      <c r="K32" s="8">
        <v>0</v>
      </c>
      <c r="L32" s="7">
        <v>29000</v>
      </c>
      <c r="M32" s="7">
        <f>RawSalesTable[[#This Row],[Sales Amount]]-RawSalesTable[[#This Row],[Quantity]]*RawSalesTable[[#This Row],[Unit Price]]</f>
        <v>0</v>
      </c>
      <c r="N32" t="s">
        <v>50</v>
      </c>
      <c r="O32" s="9" t="s">
        <v>97</v>
      </c>
    </row>
    <row r="33" spans="1:15" x14ac:dyDescent="0.25">
      <c r="A33" s="5" t="s">
        <v>112</v>
      </c>
      <c r="B33" s="6">
        <v>45988</v>
      </c>
      <c r="C33" t="s">
        <v>34</v>
      </c>
      <c r="D33" t="s">
        <v>35</v>
      </c>
      <c r="E33" t="s">
        <v>36</v>
      </c>
      <c r="F33" t="s">
        <v>29</v>
      </c>
      <c r="G33" t="s">
        <v>21</v>
      </c>
      <c r="H33" t="s">
        <v>44</v>
      </c>
      <c r="I33">
        <v>1</v>
      </c>
      <c r="J33" s="7">
        <v>1200</v>
      </c>
      <c r="K33" s="8">
        <v>0</v>
      </c>
      <c r="L33" s="7">
        <v>1200</v>
      </c>
      <c r="M33" s="7">
        <f>RawSalesTable[[#This Row],[Sales Amount]]-RawSalesTable[[#This Row],[Quantity]]*RawSalesTable[[#This Row],[Unit Price]]</f>
        <v>0</v>
      </c>
      <c r="N33" t="s">
        <v>38</v>
      </c>
      <c r="O33" s="9" t="s">
        <v>32</v>
      </c>
    </row>
    <row r="34" spans="1:15" x14ac:dyDescent="0.25">
      <c r="A34" s="5" t="s">
        <v>113</v>
      </c>
      <c r="B34" s="6">
        <v>45669</v>
      </c>
      <c r="C34" t="s">
        <v>94</v>
      </c>
      <c r="D34" t="s">
        <v>81</v>
      </c>
      <c r="E34" t="s">
        <v>72</v>
      </c>
      <c r="F34" t="s">
        <v>43</v>
      </c>
      <c r="G34" t="s">
        <v>48</v>
      </c>
      <c r="H34" t="s">
        <v>105</v>
      </c>
      <c r="I34">
        <v>2</v>
      </c>
      <c r="J34" s="7">
        <v>21000</v>
      </c>
      <c r="K34" s="8">
        <v>0</v>
      </c>
      <c r="L34" s="7">
        <v>42000</v>
      </c>
      <c r="M34" s="7">
        <f>RawSalesTable[[#This Row],[Sales Amount]]-RawSalesTable[[#This Row],[Quantity]]*RawSalesTable[[#This Row],[Unit Price]]</f>
        <v>0</v>
      </c>
      <c r="N34" t="s">
        <v>73</v>
      </c>
      <c r="O34" s="9" t="s">
        <v>39</v>
      </c>
    </row>
    <row r="35" spans="1:15" x14ac:dyDescent="0.25">
      <c r="A35" s="5" t="s">
        <v>114</v>
      </c>
      <c r="B35" s="6">
        <v>45669</v>
      </c>
      <c r="C35" t="s">
        <v>70</v>
      </c>
      <c r="D35" t="s">
        <v>86</v>
      </c>
      <c r="E35" t="s">
        <v>87</v>
      </c>
      <c r="F35" t="s">
        <v>20</v>
      </c>
      <c r="G35" t="s">
        <v>54</v>
      </c>
      <c r="H35" t="s">
        <v>55</v>
      </c>
      <c r="I35">
        <v>1</v>
      </c>
      <c r="J35" s="7">
        <v>58000</v>
      </c>
      <c r="K35" s="8">
        <v>0.15</v>
      </c>
      <c r="L35" s="7">
        <v>49300</v>
      </c>
      <c r="M35" s="7">
        <f>RawSalesTable[[#This Row],[Sales Amount]]-RawSalesTable[[#This Row],[Quantity]]*RawSalesTable[[#This Row],[Unit Price]]</f>
        <v>-8700</v>
      </c>
      <c r="N35" t="s">
        <v>50</v>
      </c>
      <c r="O35" s="9" t="s">
        <v>32</v>
      </c>
    </row>
    <row r="36" spans="1:15" x14ac:dyDescent="0.25">
      <c r="A36" s="5" t="s">
        <v>115</v>
      </c>
      <c r="B36" s="6">
        <v>45944</v>
      </c>
      <c r="C36" t="s">
        <v>17</v>
      </c>
      <c r="D36" t="s">
        <v>81</v>
      </c>
      <c r="E36" t="s">
        <v>72</v>
      </c>
      <c r="F36" t="s">
        <v>43</v>
      </c>
      <c r="G36" t="s">
        <v>48</v>
      </c>
      <c r="H36" t="s">
        <v>49</v>
      </c>
      <c r="I36">
        <v>2</v>
      </c>
      <c r="J36" s="7">
        <v>13500</v>
      </c>
      <c r="K36" s="8">
        <v>0</v>
      </c>
      <c r="L36" s="7">
        <v>27000</v>
      </c>
      <c r="M36" s="7">
        <f>RawSalesTable[[#This Row],[Sales Amount]]-RawSalesTable[[#This Row],[Quantity]]*RawSalesTable[[#This Row],[Unit Price]]</f>
        <v>0</v>
      </c>
      <c r="N36" t="s">
        <v>38</v>
      </c>
      <c r="O36" s="9" t="s">
        <v>51</v>
      </c>
    </row>
    <row r="37" spans="1:15" x14ac:dyDescent="0.25">
      <c r="A37" s="5" t="s">
        <v>116</v>
      </c>
      <c r="B37" s="6">
        <v>45826</v>
      </c>
      <c r="C37" t="s">
        <v>61</v>
      </c>
      <c r="D37" t="s">
        <v>62</v>
      </c>
      <c r="E37" t="s">
        <v>28</v>
      </c>
      <c r="F37" t="s">
        <v>29</v>
      </c>
      <c r="G37" t="s">
        <v>48</v>
      </c>
      <c r="H37" t="s">
        <v>49</v>
      </c>
      <c r="I37">
        <v>4</v>
      </c>
      <c r="J37" s="7">
        <v>13500</v>
      </c>
      <c r="K37" s="8">
        <v>0</v>
      </c>
      <c r="L37" s="7">
        <v>54000</v>
      </c>
      <c r="M37" s="7">
        <f>RawSalesTable[[#This Row],[Sales Amount]]-RawSalesTable[[#This Row],[Quantity]]*RawSalesTable[[#This Row],[Unit Price]]</f>
        <v>0</v>
      </c>
      <c r="N37" t="s">
        <v>50</v>
      </c>
      <c r="O37" s="9" t="s">
        <v>39</v>
      </c>
    </row>
    <row r="38" spans="1:15" x14ac:dyDescent="0.25">
      <c r="A38" s="5" t="s">
        <v>117</v>
      </c>
      <c r="B38" s="6">
        <v>45756</v>
      </c>
      <c r="C38" t="s">
        <v>118</v>
      </c>
      <c r="D38" t="s">
        <v>104</v>
      </c>
      <c r="E38" t="s">
        <v>19</v>
      </c>
      <c r="F38" t="s">
        <v>20</v>
      </c>
      <c r="G38" t="s">
        <v>77</v>
      </c>
      <c r="H38" t="s">
        <v>78</v>
      </c>
      <c r="I38">
        <v>3</v>
      </c>
      <c r="J38" s="7">
        <v>21000</v>
      </c>
      <c r="K38" s="8">
        <v>0.05</v>
      </c>
      <c r="L38" s="7">
        <v>59850</v>
      </c>
      <c r="M38" s="7">
        <f>RawSalesTable[[#This Row],[Sales Amount]]-RawSalesTable[[#This Row],[Quantity]]*RawSalesTable[[#This Row],[Unit Price]]</f>
        <v>-3150</v>
      </c>
      <c r="N38" t="s">
        <v>23</v>
      </c>
      <c r="O38" s="9" t="s">
        <v>59</v>
      </c>
    </row>
    <row r="39" spans="1:15" x14ac:dyDescent="0.25">
      <c r="A39" s="5" t="s">
        <v>119</v>
      </c>
      <c r="B39" s="6">
        <v>45985</v>
      </c>
      <c r="C39" t="s">
        <v>53</v>
      </c>
      <c r="D39" t="s">
        <v>102</v>
      </c>
      <c r="E39" t="s">
        <v>36</v>
      </c>
      <c r="F39" t="s">
        <v>29</v>
      </c>
      <c r="G39" t="s">
        <v>54</v>
      </c>
      <c r="H39" t="s">
        <v>55</v>
      </c>
      <c r="I39">
        <v>4</v>
      </c>
      <c r="J39" s="7">
        <v>58000</v>
      </c>
      <c r="K39" s="8">
        <v>0.1</v>
      </c>
      <c r="L39" s="7">
        <v>208800</v>
      </c>
      <c r="M39" s="7">
        <f>RawSalesTable[[#This Row],[Sales Amount]]-RawSalesTable[[#This Row],[Quantity]]*RawSalesTable[[#This Row],[Unit Price]]</f>
        <v>-23200</v>
      </c>
      <c r="N39" t="s">
        <v>38</v>
      </c>
      <c r="O39" s="9" t="s">
        <v>24</v>
      </c>
    </row>
    <row r="40" spans="1:15" x14ac:dyDescent="0.25">
      <c r="A40" s="5" t="s">
        <v>120</v>
      </c>
      <c r="B40" s="6">
        <v>46009</v>
      </c>
      <c r="C40" t="s">
        <v>118</v>
      </c>
      <c r="D40" t="s">
        <v>86</v>
      </c>
      <c r="E40" t="s">
        <v>87</v>
      </c>
      <c r="F40" t="s">
        <v>20</v>
      </c>
      <c r="G40" t="s">
        <v>77</v>
      </c>
      <c r="H40" t="s">
        <v>99</v>
      </c>
      <c r="I40">
        <v>1</v>
      </c>
      <c r="J40" s="7">
        <v>24000</v>
      </c>
      <c r="K40" s="8">
        <v>0</v>
      </c>
      <c r="L40" s="7">
        <v>24000</v>
      </c>
      <c r="M40" s="7">
        <f>RawSalesTable[[#This Row],[Sales Amount]]-RawSalesTable[[#This Row],[Quantity]]*RawSalesTable[[#This Row],[Unit Price]]</f>
        <v>0</v>
      </c>
      <c r="N40" t="s">
        <v>58</v>
      </c>
      <c r="O40" s="9" t="s">
        <v>79</v>
      </c>
    </row>
    <row r="41" spans="1:15" x14ac:dyDescent="0.25">
      <c r="A41" s="5" t="s">
        <v>121</v>
      </c>
      <c r="B41" s="6">
        <v>45749</v>
      </c>
      <c r="C41" t="s">
        <v>17</v>
      </c>
      <c r="D41" t="s">
        <v>27</v>
      </c>
      <c r="E41" t="s">
        <v>28</v>
      </c>
      <c r="F41" t="s">
        <v>29</v>
      </c>
      <c r="G41" t="s">
        <v>48</v>
      </c>
      <c r="H41" t="s">
        <v>90</v>
      </c>
      <c r="I41">
        <v>4</v>
      </c>
      <c r="J41" s="7">
        <v>14500</v>
      </c>
      <c r="K41" s="8">
        <v>0.05</v>
      </c>
      <c r="L41" s="7">
        <v>55100</v>
      </c>
      <c r="M41" s="7">
        <f>RawSalesTable[[#This Row],[Sales Amount]]-RawSalesTable[[#This Row],[Quantity]]*RawSalesTable[[#This Row],[Unit Price]]</f>
        <v>-2900</v>
      </c>
      <c r="N41" t="s">
        <v>50</v>
      </c>
      <c r="O41" s="9" t="s">
        <v>32</v>
      </c>
    </row>
    <row r="42" spans="1:15" x14ac:dyDescent="0.25">
      <c r="A42" s="5" t="s">
        <v>122</v>
      </c>
      <c r="B42" s="6">
        <v>45924</v>
      </c>
      <c r="C42" t="s">
        <v>84</v>
      </c>
      <c r="D42" t="s">
        <v>81</v>
      </c>
      <c r="E42" t="s">
        <v>72</v>
      </c>
      <c r="F42" t="s">
        <v>43</v>
      </c>
      <c r="G42" t="s">
        <v>30</v>
      </c>
      <c r="H42" t="s">
        <v>31</v>
      </c>
      <c r="I42">
        <v>4</v>
      </c>
      <c r="J42" s="7">
        <v>3200</v>
      </c>
      <c r="K42" s="8">
        <v>0</v>
      </c>
      <c r="L42" s="7">
        <v>12800</v>
      </c>
      <c r="M42" s="7">
        <f>RawSalesTable[[#This Row],[Sales Amount]]-RawSalesTable[[#This Row],[Quantity]]*RawSalesTable[[#This Row],[Unit Price]]</f>
        <v>0</v>
      </c>
      <c r="N42" t="s">
        <v>73</v>
      </c>
      <c r="O42" s="9" t="s">
        <v>51</v>
      </c>
    </row>
    <row r="43" spans="1:15" x14ac:dyDescent="0.25">
      <c r="A43" s="5" t="s">
        <v>123</v>
      </c>
      <c r="B43" s="6">
        <v>45815</v>
      </c>
      <c r="C43" t="s">
        <v>61</v>
      </c>
      <c r="D43" t="s">
        <v>104</v>
      </c>
      <c r="E43" t="s">
        <v>19</v>
      </c>
      <c r="F43" t="s">
        <v>20</v>
      </c>
      <c r="G43" t="s">
        <v>77</v>
      </c>
      <c r="H43" t="s">
        <v>111</v>
      </c>
      <c r="I43">
        <v>4</v>
      </c>
      <c r="J43" s="7">
        <v>29000</v>
      </c>
      <c r="K43" s="8">
        <v>0</v>
      </c>
      <c r="L43" s="7">
        <v>116000</v>
      </c>
      <c r="M43" s="7">
        <f>RawSalesTable[[#This Row],[Sales Amount]]-RawSalesTable[[#This Row],[Quantity]]*RawSalesTable[[#This Row],[Unit Price]]</f>
        <v>0</v>
      </c>
      <c r="N43" t="s">
        <v>73</v>
      </c>
      <c r="O43" s="9" t="s">
        <v>59</v>
      </c>
    </row>
    <row r="44" spans="1:15" x14ac:dyDescent="0.25">
      <c r="A44" s="5" t="s">
        <v>124</v>
      </c>
      <c r="B44" s="6">
        <v>45857</v>
      </c>
      <c r="C44" t="s">
        <v>70</v>
      </c>
      <c r="D44" t="s">
        <v>67</v>
      </c>
      <c r="E44" t="s">
        <v>36</v>
      </c>
      <c r="F44" t="s">
        <v>29</v>
      </c>
      <c r="G44" t="s">
        <v>30</v>
      </c>
      <c r="H44" t="s">
        <v>37</v>
      </c>
      <c r="I44">
        <v>4</v>
      </c>
      <c r="J44" s="7">
        <v>2800</v>
      </c>
      <c r="K44" s="8">
        <v>0.15</v>
      </c>
      <c r="L44" s="7">
        <v>9520</v>
      </c>
      <c r="M44" s="7">
        <f>RawSalesTable[[#This Row],[Sales Amount]]-RawSalesTable[[#This Row],[Quantity]]*RawSalesTable[[#This Row],[Unit Price]]</f>
        <v>-1680</v>
      </c>
      <c r="N44" t="s">
        <v>50</v>
      </c>
      <c r="O44" s="9" t="s">
        <v>74</v>
      </c>
    </row>
    <row r="45" spans="1:15" x14ac:dyDescent="0.25">
      <c r="A45" s="5" t="s">
        <v>125</v>
      </c>
      <c r="B45" s="6">
        <v>45874</v>
      </c>
      <c r="C45" t="s">
        <v>46</v>
      </c>
      <c r="D45" t="s">
        <v>71</v>
      </c>
      <c r="E45" t="s">
        <v>72</v>
      </c>
      <c r="F45" t="s">
        <v>43</v>
      </c>
      <c r="G45" t="s">
        <v>21</v>
      </c>
      <c r="H45" t="s">
        <v>82</v>
      </c>
      <c r="I45">
        <v>4</v>
      </c>
      <c r="J45" s="7">
        <v>900</v>
      </c>
      <c r="K45" s="8">
        <v>0</v>
      </c>
      <c r="L45" s="7">
        <v>3600</v>
      </c>
      <c r="M45" s="7">
        <f>RawSalesTable[[#This Row],[Sales Amount]]-RawSalesTable[[#This Row],[Quantity]]*RawSalesTable[[#This Row],[Unit Price]]</f>
        <v>0</v>
      </c>
      <c r="N45" t="s">
        <v>23</v>
      </c>
      <c r="O45" s="9" t="s">
        <v>97</v>
      </c>
    </row>
    <row r="46" spans="1:15" x14ac:dyDescent="0.25">
      <c r="A46" s="5" t="s">
        <v>126</v>
      </c>
      <c r="B46" s="6">
        <v>45945</v>
      </c>
      <c r="C46" t="s">
        <v>17</v>
      </c>
      <c r="D46" t="s">
        <v>81</v>
      </c>
      <c r="E46" t="s">
        <v>72</v>
      </c>
      <c r="F46" t="s">
        <v>43</v>
      </c>
      <c r="G46" t="s">
        <v>48</v>
      </c>
      <c r="H46" t="s">
        <v>105</v>
      </c>
      <c r="I46">
        <v>1</v>
      </c>
      <c r="J46" s="7">
        <v>21000</v>
      </c>
      <c r="K46" s="8">
        <v>0.15</v>
      </c>
      <c r="L46" s="7">
        <v>17850</v>
      </c>
      <c r="M46" s="7">
        <f>RawSalesTable[[#This Row],[Sales Amount]]-RawSalesTable[[#This Row],[Quantity]]*RawSalesTable[[#This Row],[Unit Price]]</f>
        <v>-3150</v>
      </c>
      <c r="N46" t="s">
        <v>58</v>
      </c>
      <c r="O46" s="9" t="s">
        <v>79</v>
      </c>
    </row>
    <row r="47" spans="1:15" x14ac:dyDescent="0.25">
      <c r="A47" s="5" t="s">
        <v>127</v>
      </c>
      <c r="B47" s="6">
        <v>45939</v>
      </c>
      <c r="C47" t="s">
        <v>61</v>
      </c>
      <c r="D47" t="s">
        <v>41</v>
      </c>
      <c r="E47" t="s">
        <v>42</v>
      </c>
      <c r="F47" t="s">
        <v>43</v>
      </c>
      <c r="G47" t="s">
        <v>30</v>
      </c>
      <c r="H47" t="s">
        <v>31</v>
      </c>
      <c r="I47">
        <v>1</v>
      </c>
      <c r="J47" s="7">
        <v>3200</v>
      </c>
      <c r="K47" s="8">
        <v>0.1</v>
      </c>
      <c r="L47" s="7">
        <v>2880</v>
      </c>
      <c r="M47" s="7">
        <f>RawSalesTable[[#This Row],[Sales Amount]]-RawSalesTable[[#This Row],[Quantity]]*RawSalesTable[[#This Row],[Unit Price]]</f>
        <v>-320</v>
      </c>
      <c r="N47" t="s">
        <v>38</v>
      </c>
      <c r="O47" s="9" t="s">
        <v>74</v>
      </c>
    </row>
    <row r="48" spans="1:15" x14ac:dyDescent="0.25">
      <c r="A48" s="5" t="s">
        <v>128</v>
      </c>
      <c r="B48" s="6">
        <v>45795</v>
      </c>
      <c r="C48" t="s">
        <v>94</v>
      </c>
      <c r="D48" t="s">
        <v>71</v>
      </c>
      <c r="E48" t="s">
        <v>72</v>
      </c>
      <c r="F48" t="s">
        <v>43</v>
      </c>
      <c r="G48" t="s">
        <v>30</v>
      </c>
      <c r="H48" t="s">
        <v>31</v>
      </c>
      <c r="I48">
        <v>2</v>
      </c>
      <c r="J48" s="7">
        <v>3200</v>
      </c>
      <c r="K48" s="8">
        <v>0.1</v>
      </c>
      <c r="L48" s="7">
        <v>5760</v>
      </c>
      <c r="M48" s="7">
        <f>RawSalesTable[[#This Row],[Sales Amount]]-RawSalesTable[[#This Row],[Quantity]]*RawSalesTable[[#This Row],[Unit Price]]</f>
        <v>-640</v>
      </c>
      <c r="N48" t="s">
        <v>50</v>
      </c>
      <c r="O48" s="9" t="s">
        <v>59</v>
      </c>
    </row>
    <row r="49" spans="1:15" x14ac:dyDescent="0.25">
      <c r="A49" s="5" t="s">
        <v>129</v>
      </c>
      <c r="B49" s="6">
        <v>45884</v>
      </c>
      <c r="C49" t="s">
        <v>53</v>
      </c>
      <c r="D49" t="s">
        <v>67</v>
      </c>
      <c r="E49" t="s">
        <v>36</v>
      </c>
      <c r="F49" t="s">
        <v>29</v>
      </c>
      <c r="G49" t="s">
        <v>30</v>
      </c>
      <c r="H49" t="s">
        <v>31</v>
      </c>
      <c r="I49">
        <v>4</v>
      </c>
      <c r="J49" s="7">
        <v>3200</v>
      </c>
      <c r="K49" s="8">
        <v>0.1</v>
      </c>
      <c r="L49" s="7">
        <v>11520</v>
      </c>
      <c r="M49" s="7">
        <f>RawSalesTable[[#This Row],[Sales Amount]]-RawSalesTable[[#This Row],[Quantity]]*RawSalesTable[[#This Row],[Unit Price]]</f>
        <v>-1280</v>
      </c>
      <c r="N49" t="s">
        <v>58</v>
      </c>
      <c r="O49" s="9" t="s">
        <v>32</v>
      </c>
    </row>
    <row r="50" spans="1:15" x14ac:dyDescent="0.25">
      <c r="A50" s="5" t="s">
        <v>130</v>
      </c>
      <c r="B50" s="6">
        <v>45715</v>
      </c>
      <c r="C50" t="s">
        <v>26</v>
      </c>
      <c r="D50" t="s">
        <v>27</v>
      </c>
      <c r="E50" t="s">
        <v>28</v>
      </c>
      <c r="F50" t="s">
        <v>29</v>
      </c>
      <c r="G50" t="s">
        <v>48</v>
      </c>
      <c r="H50" t="s">
        <v>90</v>
      </c>
      <c r="I50">
        <v>2</v>
      </c>
      <c r="J50" s="7">
        <v>14500</v>
      </c>
      <c r="K50" s="8">
        <v>0</v>
      </c>
      <c r="L50" s="7">
        <v>29000</v>
      </c>
      <c r="M50" s="7">
        <f>RawSalesTable[[#This Row],[Sales Amount]]-RawSalesTable[[#This Row],[Quantity]]*RawSalesTable[[#This Row],[Unit Price]]</f>
        <v>0</v>
      </c>
      <c r="N50" t="s">
        <v>50</v>
      </c>
      <c r="O50" s="9" t="s">
        <v>59</v>
      </c>
    </row>
    <row r="51" spans="1:15" x14ac:dyDescent="0.25">
      <c r="A51" s="5" t="s">
        <v>131</v>
      </c>
      <c r="B51" s="6">
        <v>45868</v>
      </c>
      <c r="C51" t="s">
        <v>46</v>
      </c>
      <c r="D51" t="s">
        <v>89</v>
      </c>
      <c r="E51" t="s">
        <v>87</v>
      </c>
      <c r="F51" t="s">
        <v>20</v>
      </c>
      <c r="G51" t="s">
        <v>48</v>
      </c>
      <c r="H51" t="s">
        <v>105</v>
      </c>
      <c r="I51">
        <v>4</v>
      </c>
      <c r="J51" s="7">
        <v>21000</v>
      </c>
      <c r="K51" s="8">
        <v>0</v>
      </c>
      <c r="L51" s="7">
        <v>84000</v>
      </c>
      <c r="M51" s="7">
        <f>RawSalesTable[[#This Row],[Sales Amount]]-RawSalesTable[[#This Row],[Quantity]]*RawSalesTable[[#This Row],[Unit Price]]</f>
        <v>0</v>
      </c>
      <c r="N51" t="s">
        <v>50</v>
      </c>
      <c r="O51" s="9" t="s">
        <v>32</v>
      </c>
    </row>
    <row r="52" spans="1:15" x14ac:dyDescent="0.25">
      <c r="A52" s="5" t="s">
        <v>132</v>
      </c>
      <c r="B52" s="6">
        <v>45918</v>
      </c>
      <c r="C52" t="s">
        <v>34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>
        <v>4</v>
      </c>
      <c r="J52" s="7">
        <v>1500</v>
      </c>
      <c r="K52" s="8">
        <v>0</v>
      </c>
      <c r="L52" s="7">
        <v>6000</v>
      </c>
      <c r="M52" s="7">
        <f>RawSalesTable[[#This Row],[Sales Amount]]-RawSalesTable[[#This Row],[Quantity]]*RawSalesTable[[#This Row],[Unit Price]]</f>
        <v>0</v>
      </c>
      <c r="N52" t="s">
        <v>23</v>
      </c>
      <c r="O52" s="9" t="s">
        <v>59</v>
      </c>
    </row>
    <row r="53" spans="1:15" x14ac:dyDescent="0.25">
      <c r="A53" s="5" t="s">
        <v>133</v>
      </c>
      <c r="B53" s="6">
        <v>45751</v>
      </c>
      <c r="C53" t="s">
        <v>46</v>
      </c>
      <c r="D53" t="s">
        <v>104</v>
      </c>
      <c r="E53" t="s">
        <v>19</v>
      </c>
      <c r="F53" t="s">
        <v>20</v>
      </c>
      <c r="G53" t="s">
        <v>54</v>
      </c>
      <c r="H53" t="s">
        <v>55</v>
      </c>
      <c r="I53">
        <v>1</v>
      </c>
      <c r="J53" s="7">
        <v>58000</v>
      </c>
      <c r="K53" s="8">
        <v>0.05</v>
      </c>
      <c r="L53" s="7">
        <v>55100</v>
      </c>
      <c r="M53" s="7">
        <f>RawSalesTable[[#This Row],[Sales Amount]]-RawSalesTable[[#This Row],[Quantity]]*RawSalesTable[[#This Row],[Unit Price]]</f>
        <v>-2900</v>
      </c>
      <c r="N53" t="s">
        <v>50</v>
      </c>
      <c r="O53" s="9" t="s">
        <v>59</v>
      </c>
    </row>
    <row r="54" spans="1:15" x14ac:dyDescent="0.25">
      <c r="A54" s="5" t="s">
        <v>134</v>
      </c>
      <c r="B54" s="6">
        <v>45875</v>
      </c>
      <c r="C54" t="s">
        <v>53</v>
      </c>
      <c r="D54" t="s">
        <v>67</v>
      </c>
      <c r="E54" t="s">
        <v>36</v>
      </c>
      <c r="F54" t="s">
        <v>29</v>
      </c>
      <c r="G54" t="s">
        <v>48</v>
      </c>
      <c r="H54" t="s">
        <v>105</v>
      </c>
      <c r="I54">
        <v>4</v>
      </c>
      <c r="J54" s="7">
        <v>21000</v>
      </c>
      <c r="K54" s="8">
        <v>0.1</v>
      </c>
      <c r="L54" s="7">
        <v>75600</v>
      </c>
      <c r="M54" s="7">
        <f>RawSalesTable[[#This Row],[Sales Amount]]-RawSalesTable[[#This Row],[Quantity]]*RawSalesTable[[#This Row],[Unit Price]]</f>
        <v>-8400</v>
      </c>
      <c r="N54" t="s">
        <v>23</v>
      </c>
      <c r="O54" s="9" t="s">
        <v>32</v>
      </c>
    </row>
    <row r="55" spans="1:15" x14ac:dyDescent="0.25">
      <c r="A55" s="5" t="s">
        <v>135</v>
      </c>
      <c r="B55" s="6">
        <v>45768</v>
      </c>
      <c r="C55" t="s">
        <v>53</v>
      </c>
      <c r="D55" t="s">
        <v>89</v>
      </c>
      <c r="E55" t="s">
        <v>87</v>
      </c>
      <c r="F55" t="s">
        <v>20</v>
      </c>
      <c r="G55" t="s">
        <v>77</v>
      </c>
      <c r="H55" t="s">
        <v>111</v>
      </c>
      <c r="I55">
        <v>1</v>
      </c>
      <c r="J55" s="7">
        <v>29000</v>
      </c>
      <c r="K55" s="8">
        <v>0.1</v>
      </c>
      <c r="L55" s="7">
        <v>26100</v>
      </c>
      <c r="M55" s="7">
        <f>RawSalesTable[[#This Row],[Sales Amount]]-RawSalesTable[[#This Row],[Quantity]]*RawSalesTable[[#This Row],[Unit Price]]</f>
        <v>-2900</v>
      </c>
      <c r="N55" t="s">
        <v>73</v>
      </c>
      <c r="O55" s="9" t="s">
        <v>97</v>
      </c>
    </row>
    <row r="56" spans="1:15" x14ac:dyDescent="0.25">
      <c r="A56" s="5" t="s">
        <v>136</v>
      </c>
      <c r="B56" s="6">
        <v>46022</v>
      </c>
      <c r="C56" t="s">
        <v>17</v>
      </c>
      <c r="D56" t="s">
        <v>35</v>
      </c>
      <c r="E56" t="s">
        <v>36</v>
      </c>
      <c r="F56" t="s">
        <v>29</v>
      </c>
      <c r="G56" t="s">
        <v>54</v>
      </c>
      <c r="H56" t="s">
        <v>63</v>
      </c>
      <c r="I56">
        <v>3</v>
      </c>
      <c r="J56" s="7">
        <v>61000</v>
      </c>
      <c r="K56" s="8">
        <v>0.15</v>
      </c>
      <c r="L56" s="7">
        <v>155550</v>
      </c>
      <c r="M56" s="7">
        <f>RawSalesTable[[#This Row],[Sales Amount]]-RawSalesTable[[#This Row],[Quantity]]*RawSalesTable[[#This Row],[Unit Price]]</f>
        <v>-27450</v>
      </c>
      <c r="N56" t="s">
        <v>23</v>
      </c>
      <c r="O56" s="9" t="s">
        <v>59</v>
      </c>
    </row>
    <row r="57" spans="1:15" x14ac:dyDescent="0.25">
      <c r="A57" s="5" t="s">
        <v>137</v>
      </c>
      <c r="B57" s="6">
        <v>45765</v>
      </c>
      <c r="C57" t="s">
        <v>94</v>
      </c>
      <c r="D57" t="s">
        <v>138</v>
      </c>
      <c r="E57" t="s">
        <v>28</v>
      </c>
      <c r="F57" t="s">
        <v>29</v>
      </c>
      <c r="G57" t="s">
        <v>30</v>
      </c>
      <c r="H57" t="s">
        <v>37</v>
      </c>
      <c r="I57">
        <v>1</v>
      </c>
      <c r="J57" s="7">
        <v>2800</v>
      </c>
      <c r="K57" s="8">
        <v>0.05</v>
      </c>
      <c r="L57" s="7">
        <v>2660</v>
      </c>
      <c r="M57" s="7">
        <f>RawSalesTable[[#This Row],[Sales Amount]]-RawSalesTable[[#This Row],[Quantity]]*RawSalesTable[[#This Row],[Unit Price]]</f>
        <v>-140</v>
      </c>
      <c r="N57" t="s">
        <v>38</v>
      </c>
      <c r="O57" s="9" t="s">
        <v>79</v>
      </c>
    </row>
    <row r="58" spans="1:15" x14ac:dyDescent="0.25">
      <c r="A58" s="5" t="s">
        <v>139</v>
      </c>
      <c r="B58" s="6">
        <v>45909</v>
      </c>
      <c r="C58" t="s">
        <v>34</v>
      </c>
      <c r="D58" t="s">
        <v>110</v>
      </c>
      <c r="E58" t="s">
        <v>72</v>
      </c>
      <c r="F58" t="s">
        <v>43</v>
      </c>
      <c r="G58" t="s">
        <v>54</v>
      </c>
      <c r="H58" t="s">
        <v>68</v>
      </c>
      <c r="I58">
        <v>1</v>
      </c>
      <c r="J58" s="7">
        <v>52000</v>
      </c>
      <c r="K58" s="8">
        <v>0.05</v>
      </c>
      <c r="L58" s="7">
        <v>49400</v>
      </c>
      <c r="M58" s="7">
        <f>RawSalesTable[[#This Row],[Sales Amount]]-RawSalesTable[[#This Row],[Quantity]]*RawSalesTable[[#This Row],[Unit Price]]</f>
        <v>-2600</v>
      </c>
      <c r="N58" t="s">
        <v>73</v>
      </c>
      <c r="O58" s="9" t="s">
        <v>59</v>
      </c>
    </row>
    <row r="59" spans="1:15" x14ac:dyDescent="0.25">
      <c r="A59" s="5" t="s">
        <v>140</v>
      </c>
      <c r="B59" s="6">
        <v>45783</v>
      </c>
      <c r="C59" t="s">
        <v>118</v>
      </c>
      <c r="D59" t="s">
        <v>92</v>
      </c>
      <c r="E59" t="s">
        <v>42</v>
      </c>
      <c r="F59" t="s">
        <v>43</v>
      </c>
      <c r="G59" t="s">
        <v>30</v>
      </c>
      <c r="H59" t="s">
        <v>57</v>
      </c>
      <c r="I59">
        <v>1</v>
      </c>
      <c r="J59" s="7">
        <v>4500</v>
      </c>
      <c r="K59" s="8">
        <v>0</v>
      </c>
      <c r="L59" s="7">
        <v>4500</v>
      </c>
      <c r="M59" s="7">
        <f>RawSalesTable[[#This Row],[Sales Amount]]-RawSalesTable[[#This Row],[Quantity]]*RawSalesTable[[#This Row],[Unit Price]]</f>
        <v>0</v>
      </c>
      <c r="N59" t="s">
        <v>50</v>
      </c>
      <c r="O59" s="9" t="s">
        <v>97</v>
      </c>
    </row>
    <row r="60" spans="1:15" x14ac:dyDescent="0.25">
      <c r="A60" s="5" t="s">
        <v>141</v>
      </c>
      <c r="B60" s="6">
        <v>45861</v>
      </c>
      <c r="C60" t="s">
        <v>26</v>
      </c>
      <c r="D60" t="s">
        <v>35</v>
      </c>
      <c r="E60" t="s">
        <v>36</v>
      </c>
      <c r="F60" t="s">
        <v>29</v>
      </c>
      <c r="G60" t="s">
        <v>30</v>
      </c>
      <c r="H60" t="s">
        <v>37</v>
      </c>
      <c r="I60">
        <v>1</v>
      </c>
      <c r="J60" s="7">
        <v>2800</v>
      </c>
      <c r="K60" s="8">
        <v>0.15</v>
      </c>
      <c r="L60" s="7">
        <v>2380</v>
      </c>
      <c r="M60" s="7">
        <f>RawSalesTable[[#This Row],[Sales Amount]]-RawSalesTable[[#This Row],[Quantity]]*RawSalesTable[[#This Row],[Unit Price]]</f>
        <v>-420</v>
      </c>
      <c r="N60" t="s">
        <v>50</v>
      </c>
      <c r="O60" s="9" t="s">
        <v>97</v>
      </c>
    </row>
    <row r="61" spans="1:15" x14ac:dyDescent="0.25">
      <c r="A61" s="5" t="s">
        <v>142</v>
      </c>
      <c r="B61" s="6">
        <v>45822</v>
      </c>
      <c r="C61" t="s">
        <v>26</v>
      </c>
      <c r="D61" t="s">
        <v>110</v>
      </c>
      <c r="E61" t="s">
        <v>72</v>
      </c>
      <c r="F61" t="s">
        <v>43</v>
      </c>
      <c r="G61" t="s">
        <v>21</v>
      </c>
      <c r="H61" t="s">
        <v>44</v>
      </c>
      <c r="I61">
        <v>2</v>
      </c>
      <c r="J61" s="7">
        <v>1200</v>
      </c>
      <c r="K61" s="8">
        <v>0</v>
      </c>
      <c r="L61" s="7">
        <v>2400</v>
      </c>
      <c r="M61" s="7">
        <f>RawSalesTable[[#This Row],[Sales Amount]]-RawSalesTable[[#This Row],[Quantity]]*RawSalesTable[[#This Row],[Unit Price]]</f>
        <v>0</v>
      </c>
      <c r="N61" t="s">
        <v>23</v>
      </c>
      <c r="O61" s="9" t="s">
        <v>59</v>
      </c>
    </row>
    <row r="62" spans="1:15" x14ac:dyDescent="0.25">
      <c r="A62" s="5" t="s">
        <v>143</v>
      </c>
      <c r="B62" s="6">
        <v>45895</v>
      </c>
      <c r="C62" t="s">
        <v>61</v>
      </c>
      <c r="D62" t="s">
        <v>47</v>
      </c>
      <c r="E62" t="s">
        <v>19</v>
      </c>
      <c r="F62" t="s">
        <v>20</v>
      </c>
      <c r="G62" t="s">
        <v>21</v>
      </c>
      <c r="H62" t="s">
        <v>82</v>
      </c>
      <c r="I62">
        <v>1</v>
      </c>
      <c r="J62" s="7">
        <v>900</v>
      </c>
      <c r="K62" s="8">
        <v>0.1</v>
      </c>
      <c r="L62" s="7">
        <v>810</v>
      </c>
      <c r="M62" s="7">
        <f>RawSalesTable[[#This Row],[Sales Amount]]-RawSalesTable[[#This Row],[Quantity]]*RawSalesTable[[#This Row],[Unit Price]]</f>
        <v>-90</v>
      </c>
      <c r="N62" t="s">
        <v>58</v>
      </c>
      <c r="O62" s="9" t="s">
        <v>79</v>
      </c>
    </row>
    <row r="63" spans="1:15" x14ac:dyDescent="0.25">
      <c r="A63" s="5" t="s">
        <v>144</v>
      </c>
      <c r="B63" s="6">
        <v>45728</v>
      </c>
      <c r="C63" t="s">
        <v>53</v>
      </c>
      <c r="D63" t="s">
        <v>92</v>
      </c>
      <c r="E63" t="s">
        <v>42</v>
      </c>
      <c r="F63" t="s">
        <v>43</v>
      </c>
      <c r="G63" t="s">
        <v>48</v>
      </c>
      <c r="H63" t="s">
        <v>90</v>
      </c>
      <c r="I63">
        <v>2</v>
      </c>
      <c r="J63" s="7">
        <v>14500</v>
      </c>
      <c r="K63" s="8">
        <v>0</v>
      </c>
      <c r="L63" s="7">
        <v>29000</v>
      </c>
      <c r="M63" s="7">
        <f>RawSalesTable[[#This Row],[Sales Amount]]-RawSalesTable[[#This Row],[Quantity]]*RawSalesTable[[#This Row],[Unit Price]]</f>
        <v>0</v>
      </c>
      <c r="N63" t="s">
        <v>58</v>
      </c>
      <c r="O63" s="9" t="s">
        <v>39</v>
      </c>
    </row>
    <row r="64" spans="1:15" x14ac:dyDescent="0.25">
      <c r="A64" s="5" t="s">
        <v>145</v>
      </c>
      <c r="B64" s="6">
        <v>45832</v>
      </c>
      <c r="C64" t="s">
        <v>26</v>
      </c>
      <c r="D64" t="s">
        <v>67</v>
      </c>
      <c r="E64" t="s">
        <v>36</v>
      </c>
      <c r="F64" t="s">
        <v>29</v>
      </c>
      <c r="G64" t="s">
        <v>48</v>
      </c>
      <c r="H64" t="s">
        <v>90</v>
      </c>
      <c r="I64">
        <v>2</v>
      </c>
      <c r="J64" s="7">
        <v>14500</v>
      </c>
      <c r="K64" s="8">
        <v>0</v>
      </c>
      <c r="L64" s="7">
        <v>29000</v>
      </c>
      <c r="M64" s="7">
        <f>RawSalesTable[[#This Row],[Sales Amount]]-RawSalesTable[[#This Row],[Quantity]]*RawSalesTable[[#This Row],[Unit Price]]</f>
        <v>0</v>
      </c>
      <c r="N64" t="s">
        <v>73</v>
      </c>
      <c r="O64" s="9" t="s">
        <v>32</v>
      </c>
    </row>
    <row r="65" spans="1:15" x14ac:dyDescent="0.25">
      <c r="A65" s="5" t="s">
        <v>146</v>
      </c>
      <c r="B65" s="6">
        <v>45914</v>
      </c>
      <c r="C65" t="s">
        <v>94</v>
      </c>
      <c r="D65" t="s">
        <v>138</v>
      </c>
      <c r="E65" t="s">
        <v>28</v>
      </c>
      <c r="F65" t="s">
        <v>29</v>
      </c>
      <c r="G65" t="s">
        <v>54</v>
      </c>
      <c r="H65" t="s">
        <v>68</v>
      </c>
      <c r="I65">
        <v>2</v>
      </c>
      <c r="J65" s="7">
        <v>52000</v>
      </c>
      <c r="K65" s="8">
        <v>0</v>
      </c>
      <c r="L65" s="7">
        <v>104000</v>
      </c>
      <c r="M65" s="7">
        <f>RawSalesTable[[#This Row],[Sales Amount]]-RawSalesTable[[#This Row],[Quantity]]*RawSalesTable[[#This Row],[Unit Price]]</f>
        <v>0</v>
      </c>
      <c r="N65" t="s">
        <v>50</v>
      </c>
      <c r="O65" s="9" t="s">
        <v>51</v>
      </c>
    </row>
    <row r="66" spans="1:15" x14ac:dyDescent="0.25">
      <c r="A66" s="5" t="s">
        <v>147</v>
      </c>
      <c r="B66" s="6">
        <v>45934</v>
      </c>
      <c r="C66" t="s">
        <v>46</v>
      </c>
      <c r="D66" t="s">
        <v>138</v>
      </c>
      <c r="E66" t="s">
        <v>28</v>
      </c>
      <c r="F66" t="s">
        <v>29</v>
      </c>
      <c r="G66" t="s">
        <v>77</v>
      </c>
      <c r="H66" t="s">
        <v>78</v>
      </c>
      <c r="I66">
        <v>1</v>
      </c>
      <c r="J66" s="7">
        <v>21000</v>
      </c>
      <c r="K66" s="8">
        <v>0</v>
      </c>
      <c r="L66" s="7">
        <v>21000</v>
      </c>
      <c r="M66" s="7">
        <f>RawSalesTable[[#This Row],[Sales Amount]]-RawSalesTable[[#This Row],[Quantity]]*RawSalesTable[[#This Row],[Unit Price]]</f>
        <v>0</v>
      </c>
      <c r="N66" t="s">
        <v>58</v>
      </c>
      <c r="O66" s="9" t="s">
        <v>51</v>
      </c>
    </row>
    <row r="67" spans="1:15" x14ac:dyDescent="0.25">
      <c r="A67" s="5" t="s">
        <v>148</v>
      </c>
      <c r="B67" s="6">
        <v>45853</v>
      </c>
      <c r="C67" t="s">
        <v>118</v>
      </c>
      <c r="D67" t="s">
        <v>138</v>
      </c>
      <c r="E67" t="s">
        <v>28</v>
      </c>
      <c r="F67" t="s">
        <v>29</v>
      </c>
      <c r="G67" t="s">
        <v>54</v>
      </c>
      <c r="H67" t="s">
        <v>68</v>
      </c>
      <c r="I67">
        <v>3</v>
      </c>
      <c r="J67" s="7">
        <v>52000</v>
      </c>
      <c r="K67" s="8">
        <v>0.05</v>
      </c>
      <c r="L67" s="7">
        <v>148200</v>
      </c>
      <c r="M67" s="7">
        <f>RawSalesTable[[#This Row],[Sales Amount]]-RawSalesTable[[#This Row],[Quantity]]*RawSalesTable[[#This Row],[Unit Price]]</f>
        <v>-7800</v>
      </c>
      <c r="N67" t="s">
        <v>58</v>
      </c>
      <c r="O67" s="9" t="s">
        <v>59</v>
      </c>
    </row>
    <row r="68" spans="1:15" x14ac:dyDescent="0.25">
      <c r="A68" s="5" t="s">
        <v>149</v>
      </c>
      <c r="B68" s="6">
        <v>45778</v>
      </c>
      <c r="C68" t="s">
        <v>118</v>
      </c>
      <c r="D68" t="s">
        <v>27</v>
      </c>
      <c r="E68" t="s">
        <v>28</v>
      </c>
      <c r="F68" t="s">
        <v>29</v>
      </c>
      <c r="G68" t="s">
        <v>30</v>
      </c>
      <c r="H68" t="s">
        <v>57</v>
      </c>
      <c r="I68">
        <v>4</v>
      </c>
      <c r="J68" s="7">
        <v>4500</v>
      </c>
      <c r="K68" s="8">
        <v>0.1</v>
      </c>
      <c r="L68" s="7">
        <v>16200</v>
      </c>
      <c r="M68" s="7">
        <f>RawSalesTable[[#This Row],[Sales Amount]]-RawSalesTable[[#This Row],[Quantity]]*RawSalesTable[[#This Row],[Unit Price]]</f>
        <v>-1800</v>
      </c>
      <c r="N68" t="s">
        <v>23</v>
      </c>
      <c r="O68" s="9" t="s">
        <v>51</v>
      </c>
    </row>
    <row r="69" spans="1:15" x14ac:dyDescent="0.25">
      <c r="A69" s="5" t="s">
        <v>150</v>
      </c>
      <c r="B69" s="6">
        <v>45950</v>
      </c>
      <c r="C69" t="s">
        <v>26</v>
      </c>
      <c r="D69" t="s">
        <v>110</v>
      </c>
      <c r="E69" t="s">
        <v>72</v>
      </c>
      <c r="F69" t="s">
        <v>43</v>
      </c>
      <c r="G69" t="s">
        <v>21</v>
      </c>
      <c r="H69" t="s">
        <v>82</v>
      </c>
      <c r="I69">
        <v>2</v>
      </c>
      <c r="J69" s="7">
        <v>900</v>
      </c>
      <c r="K69" s="8">
        <v>0</v>
      </c>
      <c r="L69" s="7">
        <v>1800</v>
      </c>
      <c r="M69" s="7">
        <f>RawSalesTable[[#This Row],[Sales Amount]]-RawSalesTable[[#This Row],[Quantity]]*RawSalesTable[[#This Row],[Unit Price]]</f>
        <v>0</v>
      </c>
      <c r="N69" t="s">
        <v>38</v>
      </c>
      <c r="O69" s="9" t="s">
        <v>79</v>
      </c>
    </row>
    <row r="70" spans="1:15" x14ac:dyDescent="0.25">
      <c r="A70" s="5" t="s">
        <v>151</v>
      </c>
      <c r="B70" s="6">
        <v>45885</v>
      </c>
      <c r="C70" t="s">
        <v>17</v>
      </c>
      <c r="D70" t="s">
        <v>104</v>
      </c>
      <c r="E70" t="s">
        <v>19</v>
      </c>
      <c r="F70" t="s">
        <v>20</v>
      </c>
      <c r="G70" t="s">
        <v>54</v>
      </c>
      <c r="H70" t="s">
        <v>55</v>
      </c>
      <c r="I70">
        <v>3</v>
      </c>
      <c r="J70" s="7">
        <v>58000</v>
      </c>
      <c r="K70" s="8">
        <v>0</v>
      </c>
      <c r="L70" s="7">
        <v>174000</v>
      </c>
      <c r="M70" s="7">
        <f>RawSalesTable[[#This Row],[Sales Amount]]-RawSalesTable[[#This Row],[Quantity]]*RawSalesTable[[#This Row],[Unit Price]]</f>
        <v>0</v>
      </c>
      <c r="N70" t="s">
        <v>73</v>
      </c>
      <c r="O70" s="9" t="s">
        <v>59</v>
      </c>
    </row>
    <row r="71" spans="1:15" x14ac:dyDescent="0.25">
      <c r="A71" s="5" t="s">
        <v>152</v>
      </c>
      <c r="B71" s="6">
        <v>45998</v>
      </c>
      <c r="C71" t="s">
        <v>17</v>
      </c>
      <c r="D71" t="s">
        <v>41</v>
      </c>
      <c r="E71" t="s">
        <v>42</v>
      </c>
      <c r="F71" t="s">
        <v>43</v>
      </c>
      <c r="G71" t="s">
        <v>48</v>
      </c>
      <c r="H71" t="s">
        <v>105</v>
      </c>
      <c r="I71">
        <v>2</v>
      </c>
      <c r="J71" s="7">
        <v>21000</v>
      </c>
      <c r="K71" s="8">
        <v>0.15</v>
      </c>
      <c r="L71" s="7">
        <v>35700</v>
      </c>
      <c r="M71" s="7">
        <f>RawSalesTable[[#This Row],[Sales Amount]]-RawSalesTable[[#This Row],[Quantity]]*RawSalesTable[[#This Row],[Unit Price]]</f>
        <v>-6300</v>
      </c>
      <c r="N71" t="s">
        <v>58</v>
      </c>
      <c r="O71" s="9" t="s">
        <v>59</v>
      </c>
    </row>
    <row r="72" spans="1:15" x14ac:dyDescent="0.25">
      <c r="A72" s="5" t="s">
        <v>153</v>
      </c>
      <c r="B72" s="6">
        <v>45895</v>
      </c>
      <c r="C72" t="s">
        <v>46</v>
      </c>
      <c r="D72" t="s">
        <v>41</v>
      </c>
      <c r="E72" t="s">
        <v>42</v>
      </c>
      <c r="F72" t="s">
        <v>43</v>
      </c>
      <c r="G72" t="s">
        <v>77</v>
      </c>
      <c r="H72" t="s">
        <v>78</v>
      </c>
      <c r="I72">
        <v>2</v>
      </c>
      <c r="J72" s="7">
        <v>21000</v>
      </c>
      <c r="K72" s="8">
        <v>0</v>
      </c>
      <c r="L72" s="7">
        <v>42000</v>
      </c>
      <c r="M72" s="7">
        <f>RawSalesTable[[#This Row],[Sales Amount]]-RawSalesTable[[#This Row],[Quantity]]*RawSalesTable[[#This Row],[Unit Price]]</f>
        <v>0</v>
      </c>
      <c r="N72" t="s">
        <v>23</v>
      </c>
      <c r="O72" s="9" t="s">
        <v>79</v>
      </c>
    </row>
    <row r="73" spans="1:15" x14ac:dyDescent="0.25">
      <c r="A73" s="5" t="s">
        <v>154</v>
      </c>
      <c r="B73" s="6">
        <v>45739</v>
      </c>
      <c r="C73" t="s">
        <v>70</v>
      </c>
      <c r="D73" t="s">
        <v>102</v>
      </c>
      <c r="E73" t="s">
        <v>36</v>
      </c>
      <c r="F73" t="s">
        <v>29</v>
      </c>
      <c r="G73" t="s">
        <v>30</v>
      </c>
      <c r="H73" t="s">
        <v>37</v>
      </c>
      <c r="I73">
        <v>2</v>
      </c>
      <c r="J73" s="7">
        <v>2800</v>
      </c>
      <c r="K73" s="8">
        <v>0.1</v>
      </c>
      <c r="L73" s="7">
        <v>5040</v>
      </c>
      <c r="M73" s="7">
        <f>RawSalesTable[[#This Row],[Sales Amount]]-RawSalesTable[[#This Row],[Quantity]]*RawSalesTable[[#This Row],[Unit Price]]</f>
        <v>-560</v>
      </c>
      <c r="N73" t="s">
        <v>38</v>
      </c>
      <c r="O73" s="9" t="s">
        <v>79</v>
      </c>
    </row>
    <row r="74" spans="1:15" x14ac:dyDescent="0.25">
      <c r="A74" s="5" t="s">
        <v>155</v>
      </c>
      <c r="B74" s="6">
        <v>45738</v>
      </c>
      <c r="C74" t="s">
        <v>61</v>
      </c>
      <c r="D74" t="s">
        <v>81</v>
      </c>
      <c r="E74" t="s">
        <v>72</v>
      </c>
      <c r="F74" t="s">
        <v>43</v>
      </c>
      <c r="G74" t="s">
        <v>54</v>
      </c>
      <c r="H74" t="s">
        <v>63</v>
      </c>
      <c r="I74">
        <v>3</v>
      </c>
      <c r="J74" s="7">
        <v>61000</v>
      </c>
      <c r="K74" s="8">
        <v>0</v>
      </c>
      <c r="L74" s="7">
        <v>183000</v>
      </c>
      <c r="M74" s="7">
        <f>RawSalesTable[[#This Row],[Sales Amount]]-RawSalesTable[[#This Row],[Quantity]]*RawSalesTable[[#This Row],[Unit Price]]</f>
        <v>0</v>
      </c>
      <c r="N74" t="s">
        <v>38</v>
      </c>
      <c r="O74" s="9" t="s">
        <v>74</v>
      </c>
    </row>
    <row r="75" spans="1:15" x14ac:dyDescent="0.25">
      <c r="A75" s="5" t="s">
        <v>156</v>
      </c>
      <c r="B75" s="6">
        <v>45714</v>
      </c>
      <c r="C75" t="s">
        <v>118</v>
      </c>
      <c r="D75" t="s">
        <v>62</v>
      </c>
      <c r="E75" t="s">
        <v>28</v>
      </c>
      <c r="F75" t="s">
        <v>29</v>
      </c>
      <c r="G75" t="s">
        <v>77</v>
      </c>
      <c r="H75" t="s">
        <v>111</v>
      </c>
      <c r="I75">
        <v>3</v>
      </c>
      <c r="J75" s="7">
        <v>29000</v>
      </c>
      <c r="K75" s="8">
        <v>0.05</v>
      </c>
      <c r="L75" s="7">
        <v>82650</v>
      </c>
      <c r="M75" s="7">
        <f>RawSalesTable[[#This Row],[Sales Amount]]-RawSalesTable[[#This Row],[Quantity]]*RawSalesTable[[#This Row],[Unit Price]]</f>
        <v>-4350</v>
      </c>
      <c r="N75" t="s">
        <v>50</v>
      </c>
      <c r="O75" s="9" t="s">
        <v>74</v>
      </c>
    </row>
    <row r="76" spans="1:15" x14ac:dyDescent="0.25">
      <c r="A76" s="5" t="s">
        <v>157</v>
      </c>
      <c r="B76" s="6">
        <v>45779</v>
      </c>
      <c r="C76" t="s">
        <v>61</v>
      </c>
      <c r="D76" t="s">
        <v>35</v>
      </c>
      <c r="E76" t="s">
        <v>36</v>
      </c>
      <c r="F76" t="s">
        <v>29</v>
      </c>
      <c r="G76" t="s">
        <v>30</v>
      </c>
      <c r="H76" t="s">
        <v>31</v>
      </c>
      <c r="I76">
        <v>2</v>
      </c>
      <c r="J76" s="7">
        <v>3200</v>
      </c>
      <c r="K76" s="8">
        <v>0.1</v>
      </c>
      <c r="L76" s="7">
        <v>5760</v>
      </c>
      <c r="M76" s="7">
        <f>RawSalesTable[[#This Row],[Sales Amount]]-RawSalesTable[[#This Row],[Quantity]]*RawSalesTable[[#This Row],[Unit Price]]</f>
        <v>-640</v>
      </c>
      <c r="N76" t="s">
        <v>73</v>
      </c>
      <c r="O76" s="9" t="s">
        <v>51</v>
      </c>
    </row>
    <row r="77" spans="1:15" x14ac:dyDescent="0.25">
      <c r="A77" s="5" t="s">
        <v>158</v>
      </c>
      <c r="B77" s="6">
        <v>45660</v>
      </c>
      <c r="C77" t="s">
        <v>34</v>
      </c>
      <c r="D77" t="s">
        <v>76</v>
      </c>
      <c r="E77" t="s">
        <v>42</v>
      </c>
      <c r="F77" t="s">
        <v>43</v>
      </c>
      <c r="G77" t="s">
        <v>30</v>
      </c>
      <c r="H77" t="s">
        <v>37</v>
      </c>
      <c r="I77">
        <v>4</v>
      </c>
      <c r="J77" s="7">
        <v>2800</v>
      </c>
      <c r="K77" s="8">
        <v>0</v>
      </c>
      <c r="L77" s="7">
        <v>11200</v>
      </c>
      <c r="M77" s="7">
        <f>RawSalesTable[[#This Row],[Sales Amount]]-RawSalesTable[[#This Row],[Quantity]]*RawSalesTable[[#This Row],[Unit Price]]</f>
        <v>0</v>
      </c>
      <c r="N77" t="s">
        <v>23</v>
      </c>
      <c r="O77" s="9" t="s">
        <v>79</v>
      </c>
    </row>
    <row r="78" spans="1:15" x14ac:dyDescent="0.25">
      <c r="A78" s="5" t="s">
        <v>159</v>
      </c>
      <c r="B78" s="6">
        <v>45772</v>
      </c>
      <c r="C78" t="s">
        <v>94</v>
      </c>
      <c r="D78" t="s">
        <v>89</v>
      </c>
      <c r="E78" t="s">
        <v>87</v>
      </c>
      <c r="F78" t="s">
        <v>20</v>
      </c>
      <c r="G78" t="s">
        <v>77</v>
      </c>
      <c r="H78" t="s">
        <v>111</v>
      </c>
      <c r="I78">
        <v>2</v>
      </c>
      <c r="J78" s="7">
        <v>29000</v>
      </c>
      <c r="K78" s="8">
        <v>0.15</v>
      </c>
      <c r="L78" s="7">
        <v>49300</v>
      </c>
      <c r="M78" s="7">
        <f>RawSalesTable[[#This Row],[Sales Amount]]-RawSalesTable[[#This Row],[Quantity]]*RawSalesTable[[#This Row],[Unit Price]]</f>
        <v>-8700</v>
      </c>
      <c r="N78" t="s">
        <v>23</v>
      </c>
      <c r="O78" s="9" t="s">
        <v>79</v>
      </c>
    </row>
    <row r="79" spans="1:15" x14ac:dyDescent="0.25">
      <c r="A79" s="5" t="s">
        <v>160</v>
      </c>
      <c r="B79" s="6">
        <v>45830</v>
      </c>
      <c r="C79" t="s">
        <v>61</v>
      </c>
      <c r="D79" t="s">
        <v>92</v>
      </c>
      <c r="E79" t="s">
        <v>42</v>
      </c>
      <c r="F79" t="s">
        <v>43</v>
      </c>
      <c r="G79" t="s">
        <v>77</v>
      </c>
      <c r="H79" t="s">
        <v>78</v>
      </c>
      <c r="I79">
        <v>1</v>
      </c>
      <c r="J79" s="7">
        <v>21000</v>
      </c>
      <c r="K79" s="8">
        <v>0</v>
      </c>
      <c r="L79" s="7">
        <v>21000</v>
      </c>
      <c r="M79" s="7">
        <f>RawSalesTable[[#This Row],[Sales Amount]]-RawSalesTable[[#This Row],[Quantity]]*RawSalesTable[[#This Row],[Unit Price]]</f>
        <v>0</v>
      </c>
      <c r="N79" t="s">
        <v>23</v>
      </c>
      <c r="O79" s="9" t="s">
        <v>32</v>
      </c>
    </row>
    <row r="80" spans="1:15" x14ac:dyDescent="0.25">
      <c r="A80" s="5" t="s">
        <v>161</v>
      </c>
      <c r="B80" s="6">
        <v>45735</v>
      </c>
      <c r="C80" t="s">
        <v>34</v>
      </c>
      <c r="D80" t="s">
        <v>86</v>
      </c>
      <c r="E80" t="s">
        <v>87</v>
      </c>
      <c r="F80" t="s">
        <v>20</v>
      </c>
      <c r="G80" t="s">
        <v>48</v>
      </c>
      <c r="H80" t="s">
        <v>105</v>
      </c>
      <c r="I80">
        <v>2</v>
      </c>
      <c r="J80" s="7">
        <v>21000</v>
      </c>
      <c r="K80" s="8">
        <v>0</v>
      </c>
      <c r="L80" s="7">
        <v>42000</v>
      </c>
      <c r="M80" s="7">
        <f>RawSalesTable[[#This Row],[Sales Amount]]-RawSalesTable[[#This Row],[Quantity]]*RawSalesTable[[#This Row],[Unit Price]]</f>
        <v>0</v>
      </c>
      <c r="N80" t="s">
        <v>23</v>
      </c>
      <c r="O80" s="9" t="s">
        <v>97</v>
      </c>
    </row>
    <row r="81" spans="1:15" x14ac:dyDescent="0.25">
      <c r="A81" s="5" t="s">
        <v>162</v>
      </c>
      <c r="B81" s="6">
        <v>45784</v>
      </c>
      <c r="C81" t="s">
        <v>53</v>
      </c>
      <c r="D81" t="s">
        <v>89</v>
      </c>
      <c r="E81" t="s">
        <v>87</v>
      </c>
      <c r="F81" t="s">
        <v>20</v>
      </c>
      <c r="G81" t="s">
        <v>48</v>
      </c>
      <c r="H81" t="s">
        <v>105</v>
      </c>
      <c r="I81">
        <v>2</v>
      </c>
      <c r="J81" s="7">
        <v>21000</v>
      </c>
      <c r="K81" s="8">
        <v>0.15</v>
      </c>
      <c r="L81" s="7">
        <v>35700</v>
      </c>
      <c r="M81" s="7">
        <f>RawSalesTable[[#This Row],[Sales Amount]]-RawSalesTable[[#This Row],[Quantity]]*RawSalesTable[[#This Row],[Unit Price]]</f>
        <v>-6300</v>
      </c>
      <c r="N81" t="s">
        <v>58</v>
      </c>
      <c r="O81" s="9" t="s">
        <v>79</v>
      </c>
    </row>
    <row r="82" spans="1:15" x14ac:dyDescent="0.25">
      <c r="A82" s="5" t="s">
        <v>163</v>
      </c>
      <c r="B82" s="6">
        <v>45977</v>
      </c>
      <c r="C82" t="s">
        <v>94</v>
      </c>
      <c r="D82" t="s">
        <v>18</v>
      </c>
      <c r="E82" t="s">
        <v>19</v>
      </c>
      <c r="F82" t="s">
        <v>20</v>
      </c>
      <c r="G82" t="s">
        <v>77</v>
      </c>
      <c r="H82" t="s">
        <v>78</v>
      </c>
      <c r="I82">
        <v>1</v>
      </c>
      <c r="J82" s="7">
        <v>21000</v>
      </c>
      <c r="K82" s="8">
        <v>0.05</v>
      </c>
      <c r="L82" s="7">
        <v>19950</v>
      </c>
      <c r="M82" s="7">
        <f>RawSalesTable[[#This Row],[Sales Amount]]-RawSalesTable[[#This Row],[Quantity]]*RawSalesTable[[#This Row],[Unit Price]]</f>
        <v>-1050</v>
      </c>
      <c r="N82" t="s">
        <v>50</v>
      </c>
      <c r="O82" s="9" t="s">
        <v>97</v>
      </c>
    </row>
    <row r="83" spans="1:15" x14ac:dyDescent="0.25">
      <c r="A83" s="5" t="s">
        <v>164</v>
      </c>
      <c r="B83" s="6">
        <v>45926</v>
      </c>
      <c r="C83" t="s">
        <v>118</v>
      </c>
      <c r="D83" t="s">
        <v>47</v>
      </c>
      <c r="E83" t="s">
        <v>19</v>
      </c>
      <c r="F83" t="s">
        <v>20</v>
      </c>
      <c r="G83" t="s">
        <v>77</v>
      </c>
      <c r="H83" t="s">
        <v>111</v>
      </c>
      <c r="I83">
        <v>1</v>
      </c>
      <c r="J83" s="7">
        <v>29000</v>
      </c>
      <c r="K83" s="8">
        <v>0.1</v>
      </c>
      <c r="L83" s="7">
        <v>26100</v>
      </c>
      <c r="M83" s="7">
        <f>RawSalesTable[[#This Row],[Sales Amount]]-RawSalesTable[[#This Row],[Quantity]]*RawSalesTable[[#This Row],[Unit Price]]</f>
        <v>-2900</v>
      </c>
      <c r="N83" t="s">
        <v>50</v>
      </c>
      <c r="O83" s="9" t="s">
        <v>32</v>
      </c>
    </row>
    <row r="84" spans="1:15" x14ac:dyDescent="0.25">
      <c r="A84" s="5" t="s">
        <v>165</v>
      </c>
      <c r="B84" s="6">
        <v>45971</v>
      </c>
      <c r="C84" t="s">
        <v>84</v>
      </c>
      <c r="D84" t="s">
        <v>18</v>
      </c>
      <c r="E84" t="s">
        <v>19</v>
      </c>
      <c r="F84" t="s">
        <v>20</v>
      </c>
      <c r="G84" t="s">
        <v>48</v>
      </c>
      <c r="H84" t="s">
        <v>90</v>
      </c>
      <c r="I84">
        <v>4</v>
      </c>
      <c r="J84" s="7">
        <v>14500</v>
      </c>
      <c r="K84" s="8">
        <v>0</v>
      </c>
      <c r="L84" s="7">
        <v>58000</v>
      </c>
      <c r="M84" s="7">
        <f>RawSalesTable[[#This Row],[Sales Amount]]-RawSalesTable[[#This Row],[Quantity]]*RawSalesTable[[#This Row],[Unit Price]]</f>
        <v>0</v>
      </c>
      <c r="N84" t="s">
        <v>38</v>
      </c>
      <c r="O84" s="9" t="s">
        <v>74</v>
      </c>
    </row>
    <row r="85" spans="1:15" x14ac:dyDescent="0.25">
      <c r="A85" s="5" t="s">
        <v>166</v>
      </c>
      <c r="B85" s="6">
        <v>45909</v>
      </c>
      <c r="C85" t="s">
        <v>46</v>
      </c>
      <c r="D85" t="s">
        <v>92</v>
      </c>
      <c r="E85" t="s">
        <v>42</v>
      </c>
      <c r="F85" t="s">
        <v>43</v>
      </c>
      <c r="G85" t="s">
        <v>21</v>
      </c>
      <c r="H85" t="s">
        <v>22</v>
      </c>
      <c r="I85">
        <v>2</v>
      </c>
      <c r="J85" s="7">
        <v>1500</v>
      </c>
      <c r="K85" s="8">
        <v>0.05</v>
      </c>
      <c r="L85" s="7">
        <v>2850</v>
      </c>
      <c r="M85" s="7">
        <f>RawSalesTable[[#This Row],[Sales Amount]]-RawSalesTable[[#This Row],[Quantity]]*RawSalesTable[[#This Row],[Unit Price]]</f>
        <v>-150</v>
      </c>
      <c r="N85" t="s">
        <v>73</v>
      </c>
      <c r="O85" s="9" t="s">
        <v>24</v>
      </c>
    </row>
    <row r="86" spans="1:15" x14ac:dyDescent="0.25">
      <c r="A86" s="5" t="s">
        <v>167</v>
      </c>
      <c r="B86" s="6">
        <v>45717</v>
      </c>
      <c r="C86" t="s">
        <v>61</v>
      </c>
      <c r="D86" t="s">
        <v>102</v>
      </c>
      <c r="E86" t="s">
        <v>36</v>
      </c>
      <c r="F86" t="s">
        <v>29</v>
      </c>
      <c r="G86" t="s">
        <v>48</v>
      </c>
      <c r="H86" t="s">
        <v>90</v>
      </c>
      <c r="I86">
        <v>3</v>
      </c>
      <c r="J86" s="7">
        <v>14500</v>
      </c>
      <c r="K86" s="8">
        <v>0.1</v>
      </c>
      <c r="L86" s="7">
        <v>39150</v>
      </c>
      <c r="M86" s="7">
        <f>RawSalesTable[[#This Row],[Sales Amount]]-RawSalesTable[[#This Row],[Quantity]]*RawSalesTable[[#This Row],[Unit Price]]</f>
        <v>-4350</v>
      </c>
      <c r="N86" t="s">
        <v>23</v>
      </c>
      <c r="O86" s="9" t="s">
        <v>51</v>
      </c>
    </row>
    <row r="87" spans="1:15" x14ac:dyDescent="0.25">
      <c r="A87" s="5" t="s">
        <v>168</v>
      </c>
      <c r="B87" s="6">
        <v>45658</v>
      </c>
      <c r="C87" t="s">
        <v>26</v>
      </c>
      <c r="D87" t="s">
        <v>76</v>
      </c>
      <c r="E87" t="s">
        <v>42</v>
      </c>
      <c r="F87" t="s">
        <v>43</v>
      </c>
      <c r="G87" t="s">
        <v>21</v>
      </c>
      <c r="H87" t="s">
        <v>22</v>
      </c>
      <c r="I87">
        <v>4</v>
      </c>
      <c r="J87" s="7">
        <v>1500</v>
      </c>
      <c r="K87" s="8">
        <v>0.1</v>
      </c>
      <c r="L87" s="7">
        <v>5400</v>
      </c>
      <c r="M87" s="7">
        <f>RawSalesTable[[#This Row],[Sales Amount]]-RawSalesTable[[#This Row],[Quantity]]*RawSalesTable[[#This Row],[Unit Price]]</f>
        <v>-600</v>
      </c>
      <c r="N87" t="s">
        <v>23</v>
      </c>
      <c r="O87" s="9" t="s">
        <v>39</v>
      </c>
    </row>
    <row r="88" spans="1:15" x14ac:dyDescent="0.25">
      <c r="A88" s="5" t="s">
        <v>169</v>
      </c>
      <c r="B88" s="6">
        <v>45807</v>
      </c>
      <c r="C88" t="s">
        <v>34</v>
      </c>
      <c r="D88" t="s">
        <v>138</v>
      </c>
      <c r="E88" t="s">
        <v>28</v>
      </c>
      <c r="F88" t="s">
        <v>29</v>
      </c>
      <c r="G88" t="s">
        <v>77</v>
      </c>
      <c r="H88" t="s">
        <v>99</v>
      </c>
      <c r="I88">
        <v>3</v>
      </c>
      <c r="J88" s="7">
        <v>24000</v>
      </c>
      <c r="K88" s="8">
        <v>0</v>
      </c>
      <c r="L88" s="7">
        <v>72000</v>
      </c>
      <c r="M88" s="7">
        <f>RawSalesTable[[#This Row],[Sales Amount]]-RawSalesTable[[#This Row],[Quantity]]*RawSalesTable[[#This Row],[Unit Price]]</f>
        <v>0</v>
      </c>
      <c r="N88" t="s">
        <v>23</v>
      </c>
      <c r="O88" s="9" t="s">
        <v>59</v>
      </c>
    </row>
    <row r="89" spans="1:15" x14ac:dyDescent="0.25">
      <c r="A89" s="5" t="s">
        <v>170</v>
      </c>
      <c r="B89" s="6">
        <v>45723</v>
      </c>
      <c r="C89" t="s">
        <v>84</v>
      </c>
      <c r="D89" t="s">
        <v>86</v>
      </c>
      <c r="E89" t="s">
        <v>87</v>
      </c>
      <c r="F89" t="s">
        <v>20</v>
      </c>
      <c r="G89" t="s">
        <v>54</v>
      </c>
      <c r="H89" t="s">
        <v>68</v>
      </c>
      <c r="I89">
        <v>2</v>
      </c>
      <c r="J89" s="7">
        <v>52000</v>
      </c>
      <c r="K89" s="8">
        <v>0.1</v>
      </c>
      <c r="L89" s="7">
        <v>93600</v>
      </c>
      <c r="M89" s="7">
        <f>RawSalesTable[[#This Row],[Sales Amount]]-RawSalesTable[[#This Row],[Quantity]]*RawSalesTable[[#This Row],[Unit Price]]</f>
        <v>-10400</v>
      </c>
      <c r="N89" t="s">
        <v>23</v>
      </c>
      <c r="O89" s="9" t="s">
        <v>59</v>
      </c>
    </row>
    <row r="90" spans="1:15" x14ac:dyDescent="0.25">
      <c r="A90" s="5" t="s">
        <v>171</v>
      </c>
      <c r="B90" s="6">
        <v>45675</v>
      </c>
      <c r="C90" t="s">
        <v>34</v>
      </c>
      <c r="D90" t="s">
        <v>41</v>
      </c>
      <c r="E90" t="s">
        <v>42</v>
      </c>
      <c r="F90" t="s">
        <v>43</v>
      </c>
      <c r="G90" t="s">
        <v>54</v>
      </c>
      <c r="H90" t="s">
        <v>63</v>
      </c>
      <c r="I90">
        <v>2</v>
      </c>
      <c r="J90" s="7">
        <v>61000</v>
      </c>
      <c r="K90" s="8">
        <v>0.15</v>
      </c>
      <c r="L90" s="7">
        <v>103700</v>
      </c>
      <c r="M90" s="7">
        <f>RawSalesTable[[#This Row],[Sales Amount]]-RawSalesTable[[#This Row],[Quantity]]*RawSalesTable[[#This Row],[Unit Price]]</f>
        <v>-18300</v>
      </c>
      <c r="N90" t="s">
        <v>73</v>
      </c>
      <c r="O90" s="9" t="s">
        <v>74</v>
      </c>
    </row>
    <row r="91" spans="1:15" x14ac:dyDescent="0.25">
      <c r="A91" s="5" t="s">
        <v>172</v>
      </c>
      <c r="B91" s="6">
        <v>45775</v>
      </c>
      <c r="C91" t="s">
        <v>53</v>
      </c>
      <c r="D91" t="s">
        <v>95</v>
      </c>
      <c r="E91" t="s">
        <v>87</v>
      </c>
      <c r="F91" t="s">
        <v>20</v>
      </c>
      <c r="G91" t="s">
        <v>48</v>
      </c>
      <c r="H91" t="s">
        <v>90</v>
      </c>
      <c r="I91">
        <v>3</v>
      </c>
      <c r="J91" s="7">
        <v>14500</v>
      </c>
      <c r="K91" s="8">
        <v>0</v>
      </c>
      <c r="L91" s="7">
        <v>43500</v>
      </c>
      <c r="M91" s="7">
        <f>RawSalesTable[[#This Row],[Sales Amount]]-RawSalesTable[[#This Row],[Quantity]]*RawSalesTable[[#This Row],[Unit Price]]</f>
        <v>0</v>
      </c>
      <c r="N91" t="s">
        <v>73</v>
      </c>
      <c r="O91" s="9" t="s">
        <v>97</v>
      </c>
    </row>
    <row r="92" spans="1:15" x14ac:dyDescent="0.25">
      <c r="A92" s="5" t="s">
        <v>173</v>
      </c>
      <c r="B92" s="6">
        <v>45791</v>
      </c>
      <c r="C92" t="s">
        <v>61</v>
      </c>
      <c r="D92" t="s">
        <v>71</v>
      </c>
      <c r="E92" t="s">
        <v>72</v>
      </c>
      <c r="F92" t="s">
        <v>43</v>
      </c>
      <c r="G92" t="s">
        <v>54</v>
      </c>
      <c r="H92" t="s">
        <v>63</v>
      </c>
      <c r="I92">
        <v>3</v>
      </c>
      <c r="J92" s="7">
        <v>61000</v>
      </c>
      <c r="K92" s="8">
        <v>0</v>
      </c>
      <c r="L92" s="7">
        <v>183000</v>
      </c>
      <c r="M92" s="7">
        <f>RawSalesTable[[#This Row],[Sales Amount]]-RawSalesTable[[#This Row],[Quantity]]*RawSalesTable[[#This Row],[Unit Price]]</f>
        <v>0</v>
      </c>
      <c r="N92" t="s">
        <v>23</v>
      </c>
      <c r="O92" s="9" t="s">
        <v>74</v>
      </c>
    </row>
    <row r="93" spans="1:15" x14ac:dyDescent="0.25">
      <c r="A93" s="5" t="s">
        <v>174</v>
      </c>
      <c r="B93" s="6">
        <v>45834</v>
      </c>
      <c r="C93" t="s">
        <v>61</v>
      </c>
      <c r="D93" t="s">
        <v>95</v>
      </c>
      <c r="E93" t="s">
        <v>87</v>
      </c>
      <c r="F93" t="s">
        <v>20</v>
      </c>
      <c r="G93" t="s">
        <v>77</v>
      </c>
      <c r="H93" t="s">
        <v>99</v>
      </c>
      <c r="I93">
        <v>4</v>
      </c>
      <c r="J93" s="7">
        <v>24000</v>
      </c>
      <c r="K93" s="8">
        <v>0</v>
      </c>
      <c r="L93" s="7">
        <v>96000</v>
      </c>
      <c r="M93" s="7">
        <f>RawSalesTable[[#This Row],[Sales Amount]]-RawSalesTable[[#This Row],[Quantity]]*RawSalesTable[[#This Row],[Unit Price]]</f>
        <v>0</v>
      </c>
      <c r="N93" t="s">
        <v>23</v>
      </c>
      <c r="O93" s="9" t="s">
        <v>51</v>
      </c>
    </row>
    <row r="94" spans="1:15" x14ac:dyDescent="0.25">
      <c r="A94" s="5" t="s">
        <v>175</v>
      </c>
      <c r="B94" s="6">
        <v>45766</v>
      </c>
      <c r="C94" t="s">
        <v>70</v>
      </c>
      <c r="D94" t="s">
        <v>62</v>
      </c>
      <c r="E94" t="s">
        <v>28</v>
      </c>
      <c r="F94" t="s">
        <v>29</v>
      </c>
      <c r="G94" t="s">
        <v>54</v>
      </c>
      <c r="H94" t="s">
        <v>63</v>
      </c>
      <c r="I94">
        <v>2</v>
      </c>
      <c r="J94" s="7">
        <v>61000</v>
      </c>
      <c r="K94" s="8">
        <v>0.1</v>
      </c>
      <c r="L94" s="7">
        <v>109800</v>
      </c>
      <c r="M94" s="7">
        <f>RawSalesTable[[#This Row],[Sales Amount]]-RawSalesTable[[#This Row],[Quantity]]*RawSalesTable[[#This Row],[Unit Price]]</f>
        <v>-12200</v>
      </c>
      <c r="N94" t="s">
        <v>23</v>
      </c>
      <c r="O94" s="9" t="s">
        <v>39</v>
      </c>
    </row>
    <row r="95" spans="1:15" x14ac:dyDescent="0.25">
      <c r="A95" s="5" t="s">
        <v>176</v>
      </c>
      <c r="B95" s="6">
        <v>45704</v>
      </c>
      <c r="C95" t="s">
        <v>94</v>
      </c>
      <c r="D95" t="s">
        <v>81</v>
      </c>
      <c r="E95" t="s">
        <v>72</v>
      </c>
      <c r="F95" t="s">
        <v>43</v>
      </c>
      <c r="G95" t="s">
        <v>21</v>
      </c>
      <c r="H95" t="s">
        <v>82</v>
      </c>
      <c r="I95">
        <v>2</v>
      </c>
      <c r="J95" s="7">
        <v>900</v>
      </c>
      <c r="K95" s="8">
        <v>0.05</v>
      </c>
      <c r="L95" s="7">
        <v>1710</v>
      </c>
      <c r="M95" s="7">
        <f>RawSalesTable[[#This Row],[Sales Amount]]-RawSalesTable[[#This Row],[Quantity]]*RawSalesTable[[#This Row],[Unit Price]]</f>
        <v>-90</v>
      </c>
      <c r="N95" t="s">
        <v>73</v>
      </c>
      <c r="O95" s="9" t="s">
        <v>32</v>
      </c>
    </row>
    <row r="96" spans="1:15" x14ac:dyDescent="0.25">
      <c r="A96" s="5" t="s">
        <v>177</v>
      </c>
      <c r="B96" s="6">
        <v>45771</v>
      </c>
      <c r="C96" t="s">
        <v>17</v>
      </c>
      <c r="D96" t="s">
        <v>81</v>
      </c>
      <c r="E96" t="s">
        <v>72</v>
      </c>
      <c r="F96" t="s">
        <v>43</v>
      </c>
      <c r="G96" t="s">
        <v>77</v>
      </c>
      <c r="H96" t="s">
        <v>111</v>
      </c>
      <c r="I96">
        <v>1</v>
      </c>
      <c r="J96" s="7">
        <v>29000</v>
      </c>
      <c r="K96" s="8">
        <v>0</v>
      </c>
      <c r="L96" s="7">
        <v>29000</v>
      </c>
      <c r="M96" s="7">
        <f>RawSalesTable[[#This Row],[Sales Amount]]-RawSalesTable[[#This Row],[Quantity]]*RawSalesTable[[#This Row],[Unit Price]]</f>
        <v>0</v>
      </c>
      <c r="N96" t="s">
        <v>50</v>
      </c>
      <c r="O96" s="9" t="s">
        <v>59</v>
      </c>
    </row>
    <row r="97" spans="1:15" x14ac:dyDescent="0.25">
      <c r="A97" s="5" t="s">
        <v>178</v>
      </c>
      <c r="B97" s="6">
        <v>45858</v>
      </c>
      <c r="C97" t="s">
        <v>70</v>
      </c>
      <c r="D97" t="s">
        <v>102</v>
      </c>
      <c r="E97" t="s">
        <v>36</v>
      </c>
      <c r="F97" t="s">
        <v>29</v>
      </c>
      <c r="G97" t="s">
        <v>77</v>
      </c>
      <c r="H97" t="s">
        <v>78</v>
      </c>
      <c r="I97">
        <v>1</v>
      </c>
      <c r="J97" s="7">
        <v>21000</v>
      </c>
      <c r="K97" s="8">
        <v>0</v>
      </c>
      <c r="L97" s="7">
        <v>21000</v>
      </c>
      <c r="M97" s="7">
        <f>RawSalesTable[[#This Row],[Sales Amount]]-RawSalesTable[[#This Row],[Quantity]]*RawSalesTable[[#This Row],[Unit Price]]</f>
        <v>0</v>
      </c>
      <c r="N97" t="s">
        <v>23</v>
      </c>
      <c r="O97" s="9" t="s">
        <v>59</v>
      </c>
    </row>
    <row r="98" spans="1:15" x14ac:dyDescent="0.25">
      <c r="A98" s="5" t="s">
        <v>179</v>
      </c>
      <c r="B98" s="6">
        <v>45842</v>
      </c>
      <c r="C98" t="s">
        <v>84</v>
      </c>
      <c r="D98" t="s">
        <v>102</v>
      </c>
      <c r="E98" t="s">
        <v>36</v>
      </c>
      <c r="F98" t="s">
        <v>29</v>
      </c>
      <c r="G98" t="s">
        <v>77</v>
      </c>
      <c r="H98" t="s">
        <v>78</v>
      </c>
      <c r="I98">
        <v>1</v>
      </c>
      <c r="J98" s="7">
        <v>21000</v>
      </c>
      <c r="K98" s="8">
        <v>0.05</v>
      </c>
      <c r="L98" s="7">
        <v>19950</v>
      </c>
      <c r="M98" s="7">
        <f>RawSalesTable[[#This Row],[Sales Amount]]-RawSalesTable[[#This Row],[Quantity]]*RawSalesTable[[#This Row],[Unit Price]]</f>
        <v>-1050</v>
      </c>
      <c r="N98" t="s">
        <v>23</v>
      </c>
      <c r="O98" s="9" t="s">
        <v>79</v>
      </c>
    </row>
    <row r="99" spans="1:15" x14ac:dyDescent="0.25">
      <c r="A99" s="5" t="s">
        <v>180</v>
      </c>
      <c r="B99" s="6">
        <v>45778</v>
      </c>
      <c r="C99" t="s">
        <v>26</v>
      </c>
      <c r="D99" t="s">
        <v>92</v>
      </c>
      <c r="E99" t="s">
        <v>42</v>
      </c>
      <c r="F99" t="s">
        <v>43</v>
      </c>
      <c r="G99" t="s">
        <v>48</v>
      </c>
      <c r="H99" t="s">
        <v>90</v>
      </c>
      <c r="I99">
        <v>1</v>
      </c>
      <c r="J99" s="7">
        <v>14500</v>
      </c>
      <c r="K99" s="8">
        <v>0.1</v>
      </c>
      <c r="L99" s="7">
        <v>13050</v>
      </c>
      <c r="M99" s="7">
        <f>RawSalesTable[[#This Row],[Sales Amount]]-RawSalesTable[[#This Row],[Quantity]]*RawSalesTable[[#This Row],[Unit Price]]</f>
        <v>-1450</v>
      </c>
      <c r="N99" t="s">
        <v>73</v>
      </c>
      <c r="O99" s="9" t="s">
        <v>32</v>
      </c>
    </row>
    <row r="100" spans="1:15" x14ac:dyDescent="0.25">
      <c r="A100" s="5" t="s">
        <v>181</v>
      </c>
      <c r="B100" s="6">
        <v>45817</v>
      </c>
      <c r="C100" t="s">
        <v>118</v>
      </c>
      <c r="D100" t="s">
        <v>47</v>
      </c>
      <c r="E100" t="s">
        <v>19</v>
      </c>
      <c r="F100" t="s">
        <v>20</v>
      </c>
      <c r="G100" t="s">
        <v>54</v>
      </c>
      <c r="H100" t="s">
        <v>63</v>
      </c>
      <c r="I100">
        <v>1</v>
      </c>
      <c r="J100" s="7">
        <v>61000</v>
      </c>
      <c r="K100" s="8">
        <v>0.05</v>
      </c>
      <c r="L100" s="7">
        <v>57950</v>
      </c>
      <c r="M100" s="7">
        <f>RawSalesTable[[#This Row],[Sales Amount]]-RawSalesTable[[#This Row],[Quantity]]*RawSalesTable[[#This Row],[Unit Price]]</f>
        <v>-3050</v>
      </c>
      <c r="N100" t="s">
        <v>58</v>
      </c>
      <c r="O100" s="9" t="s">
        <v>79</v>
      </c>
    </row>
    <row r="101" spans="1:15" x14ac:dyDescent="0.25">
      <c r="A101" s="5" t="s">
        <v>182</v>
      </c>
      <c r="B101" s="6">
        <v>45947</v>
      </c>
      <c r="C101" t="s">
        <v>84</v>
      </c>
      <c r="D101" t="s">
        <v>86</v>
      </c>
      <c r="E101" t="s">
        <v>87</v>
      </c>
      <c r="F101" t="s">
        <v>20</v>
      </c>
      <c r="G101" t="s">
        <v>48</v>
      </c>
      <c r="H101" t="s">
        <v>49</v>
      </c>
      <c r="I101">
        <v>3</v>
      </c>
      <c r="J101" s="7">
        <v>13500</v>
      </c>
      <c r="K101" s="8">
        <v>0.15</v>
      </c>
      <c r="L101" s="7">
        <v>34425</v>
      </c>
      <c r="M101" s="7">
        <f>RawSalesTable[[#This Row],[Sales Amount]]-RawSalesTable[[#This Row],[Quantity]]*RawSalesTable[[#This Row],[Unit Price]]</f>
        <v>-6075</v>
      </c>
      <c r="N101" t="s">
        <v>73</v>
      </c>
      <c r="O101" s="9" t="s">
        <v>59</v>
      </c>
    </row>
    <row r="102" spans="1:15" x14ac:dyDescent="0.25">
      <c r="A102" s="5" t="s">
        <v>183</v>
      </c>
      <c r="B102" s="6">
        <v>45725</v>
      </c>
      <c r="C102" t="s">
        <v>61</v>
      </c>
      <c r="D102" t="s">
        <v>95</v>
      </c>
      <c r="E102" t="s">
        <v>87</v>
      </c>
      <c r="F102" t="s">
        <v>20</v>
      </c>
      <c r="G102" t="s">
        <v>48</v>
      </c>
      <c r="H102" t="s">
        <v>105</v>
      </c>
      <c r="I102">
        <v>3</v>
      </c>
      <c r="J102" s="7">
        <v>21000</v>
      </c>
      <c r="K102" s="8">
        <v>0.1</v>
      </c>
      <c r="L102" s="7">
        <v>56700</v>
      </c>
      <c r="M102" s="7">
        <f>RawSalesTable[[#This Row],[Sales Amount]]-RawSalesTable[[#This Row],[Quantity]]*RawSalesTable[[#This Row],[Unit Price]]</f>
        <v>-6300</v>
      </c>
      <c r="N102" t="s">
        <v>23</v>
      </c>
      <c r="O102" s="9" t="s">
        <v>59</v>
      </c>
    </row>
    <row r="103" spans="1:15" x14ac:dyDescent="0.25">
      <c r="A103" s="5" t="s">
        <v>184</v>
      </c>
      <c r="B103" s="6">
        <v>45738</v>
      </c>
      <c r="C103" t="s">
        <v>53</v>
      </c>
      <c r="D103" t="s">
        <v>92</v>
      </c>
      <c r="E103" t="s">
        <v>42</v>
      </c>
      <c r="F103" t="s">
        <v>43</v>
      </c>
      <c r="G103" t="s">
        <v>30</v>
      </c>
      <c r="H103" t="s">
        <v>57</v>
      </c>
      <c r="I103">
        <v>2</v>
      </c>
      <c r="J103" s="7">
        <v>4500</v>
      </c>
      <c r="K103" s="8">
        <v>0.1</v>
      </c>
      <c r="L103" s="7">
        <v>8100</v>
      </c>
      <c r="M103" s="7">
        <f>RawSalesTable[[#This Row],[Sales Amount]]-RawSalesTable[[#This Row],[Quantity]]*RawSalesTable[[#This Row],[Unit Price]]</f>
        <v>-900</v>
      </c>
      <c r="N103" t="s">
        <v>50</v>
      </c>
      <c r="O103" s="9" t="s">
        <v>97</v>
      </c>
    </row>
    <row r="104" spans="1:15" x14ac:dyDescent="0.25">
      <c r="A104" s="5" t="s">
        <v>185</v>
      </c>
      <c r="B104" s="6">
        <v>45695</v>
      </c>
      <c r="C104" t="s">
        <v>61</v>
      </c>
      <c r="D104" t="s">
        <v>27</v>
      </c>
      <c r="E104" t="s">
        <v>28</v>
      </c>
      <c r="F104" t="s">
        <v>29</v>
      </c>
      <c r="G104" t="s">
        <v>77</v>
      </c>
      <c r="H104" t="s">
        <v>111</v>
      </c>
      <c r="I104">
        <v>3</v>
      </c>
      <c r="J104" s="7">
        <v>29000</v>
      </c>
      <c r="K104" s="8">
        <v>0.1</v>
      </c>
      <c r="L104" s="7">
        <v>78300</v>
      </c>
      <c r="M104" s="7">
        <f>RawSalesTable[[#This Row],[Sales Amount]]-RawSalesTable[[#This Row],[Quantity]]*RawSalesTable[[#This Row],[Unit Price]]</f>
        <v>-8700</v>
      </c>
      <c r="N104" t="s">
        <v>50</v>
      </c>
      <c r="O104" s="9" t="s">
        <v>32</v>
      </c>
    </row>
    <row r="105" spans="1:15" x14ac:dyDescent="0.25">
      <c r="A105" s="5" t="s">
        <v>186</v>
      </c>
      <c r="B105" s="6">
        <v>45848</v>
      </c>
      <c r="C105" t="s">
        <v>53</v>
      </c>
      <c r="D105" t="s">
        <v>18</v>
      </c>
      <c r="E105" t="s">
        <v>19</v>
      </c>
      <c r="F105" t="s">
        <v>20</v>
      </c>
      <c r="G105" t="s">
        <v>54</v>
      </c>
      <c r="H105" t="s">
        <v>68</v>
      </c>
      <c r="I105">
        <v>3</v>
      </c>
      <c r="J105" s="7">
        <v>52000</v>
      </c>
      <c r="K105" s="8">
        <v>0.05</v>
      </c>
      <c r="L105" s="7">
        <v>148200</v>
      </c>
      <c r="M105" s="7">
        <f>RawSalesTable[[#This Row],[Sales Amount]]-RawSalesTable[[#This Row],[Quantity]]*RawSalesTable[[#This Row],[Unit Price]]</f>
        <v>-7800</v>
      </c>
      <c r="N105" t="s">
        <v>58</v>
      </c>
      <c r="O105" s="9" t="s">
        <v>24</v>
      </c>
    </row>
    <row r="106" spans="1:15" x14ac:dyDescent="0.25">
      <c r="A106" s="5" t="s">
        <v>187</v>
      </c>
      <c r="B106" s="6">
        <v>45885</v>
      </c>
      <c r="C106" t="s">
        <v>34</v>
      </c>
      <c r="D106" t="s">
        <v>47</v>
      </c>
      <c r="E106" t="s">
        <v>19</v>
      </c>
      <c r="F106" t="s">
        <v>20</v>
      </c>
      <c r="G106" t="s">
        <v>21</v>
      </c>
      <c r="H106" t="s">
        <v>82</v>
      </c>
      <c r="I106">
        <v>1</v>
      </c>
      <c r="J106" s="7">
        <v>900</v>
      </c>
      <c r="K106" s="8">
        <v>0.15</v>
      </c>
      <c r="L106" s="7">
        <v>765</v>
      </c>
      <c r="M106" s="7">
        <f>RawSalesTable[[#This Row],[Sales Amount]]-RawSalesTable[[#This Row],[Quantity]]*RawSalesTable[[#This Row],[Unit Price]]</f>
        <v>-135</v>
      </c>
      <c r="N106" t="s">
        <v>50</v>
      </c>
      <c r="O106" s="9" t="s">
        <v>79</v>
      </c>
    </row>
    <row r="107" spans="1:15" x14ac:dyDescent="0.25">
      <c r="A107" s="5" t="s">
        <v>188</v>
      </c>
      <c r="B107" s="6">
        <v>45762</v>
      </c>
      <c r="C107" t="s">
        <v>94</v>
      </c>
      <c r="D107" t="s">
        <v>47</v>
      </c>
      <c r="E107" t="s">
        <v>19</v>
      </c>
      <c r="F107" t="s">
        <v>20</v>
      </c>
      <c r="G107" t="s">
        <v>54</v>
      </c>
      <c r="H107" t="s">
        <v>63</v>
      </c>
      <c r="I107">
        <v>1</v>
      </c>
      <c r="J107" s="7">
        <v>61000</v>
      </c>
      <c r="K107" s="8">
        <v>0</v>
      </c>
      <c r="L107" s="7">
        <v>61000</v>
      </c>
      <c r="M107" s="7">
        <f>RawSalesTable[[#This Row],[Sales Amount]]-RawSalesTable[[#This Row],[Quantity]]*RawSalesTable[[#This Row],[Unit Price]]</f>
        <v>0</v>
      </c>
      <c r="N107" t="s">
        <v>23</v>
      </c>
      <c r="O107" s="9" t="s">
        <v>97</v>
      </c>
    </row>
    <row r="108" spans="1:15" x14ac:dyDescent="0.25">
      <c r="A108" s="5" t="s">
        <v>189</v>
      </c>
      <c r="B108" s="6">
        <v>45942</v>
      </c>
      <c r="C108" t="s">
        <v>70</v>
      </c>
      <c r="D108" t="s">
        <v>27</v>
      </c>
      <c r="E108" t="s">
        <v>28</v>
      </c>
      <c r="F108" t="s">
        <v>29</v>
      </c>
      <c r="G108" t="s">
        <v>54</v>
      </c>
      <c r="H108" t="s">
        <v>68</v>
      </c>
      <c r="I108">
        <v>4</v>
      </c>
      <c r="J108" s="7">
        <v>52000</v>
      </c>
      <c r="K108" s="8">
        <v>0</v>
      </c>
      <c r="L108" s="7">
        <v>208000</v>
      </c>
      <c r="M108" s="7">
        <f>RawSalesTable[[#This Row],[Sales Amount]]-RawSalesTable[[#This Row],[Quantity]]*RawSalesTable[[#This Row],[Unit Price]]</f>
        <v>0</v>
      </c>
      <c r="N108" t="s">
        <v>50</v>
      </c>
      <c r="O108" s="9" t="s">
        <v>51</v>
      </c>
    </row>
    <row r="109" spans="1:15" x14ac:dyDescent="0.25">
      <c r="A109" s="5" t="s">
        <v>190</v>
      </c>
      <c r="B109" s="6">
        <v>45989</v>
      </c>
      <c r="C109" t="s">
        <v>118</v>
      </c>
      <c r="D109" t="s">
        <v>27</v>
      </c>
      <c r="E109" t="s">
        <v>28</v>
      </c>
      <c r="F109" t="s">
        <v>29</v>
      </c>
      <c r="G109" t="s">
        <v>77</v>
      </c>
      <c r="H109" t="s">
        <v>78</v>
      </c>
      <c r="I109">
        <v>1</v>
      </c>
      <c r="J109" s="7">
        <v>21000</v>
      </c>
      <c r="K109" s="8">
        <v>0</v>
      </c>
      <c r="L109" s="7">
        <v>21000</v>
      </c>
      <c r="M109" s="7">
        <f>RawSalesTable[[#This Row],[Sales Amount]]-RawSalesTable[[#This Row],[Quantity]]*RawSalesTable[[#This Row],[Unit Price]]</f>
        <v>0</v>
      </c>
      <c r="N109" t="s">
        <v>23</v>
      </c>
      <c r="O109" s="9" t="s">
        <v>97</v>
      </c>
    </row>
    <row r="110" spans="1:15" x14ac:dyDescent="0.25">
      <c r="A110" s="5" t="s">
        <v>191</v>
      </c>
      <c r="B110" s="6">
        <v>46010</v>
      </c>
      <c r="C110" t="s">
        <v>46</v>
      </c>
      <c r="D110" t="s">
        <v>104</v>
      </c>
      <c r="E110" t="s">
        <v>19</v>
      </c>
      <c r="F110" t="s">
        <v>20</v>
      </c>
      <c r="G110" t="s">
        <v>30</v>
      </c>
      <c r="H110" t="s">
        <v>57</v>
      </c>
      <c r="I110">
        <v>4</v>
      </c>
      <c r="J110" s="7">
        <v>4500</v>
      </c>
      <c r="K110" s="8">
        <v>0</v>
      </c>
      <c r="L110" s="7">
        <v>18000</v>
      </c>
      <c r="M110" s="7">
        <f>RawSalesTable[[#This Row],[Sales Amount]]-RawSalesTable[[#This Row],[Quantity]]*RawSalesTable[[#This Row],[Unit Price]]</f>
        <v>0</v>
      </c>
      <c r="N110" t="s">
        <v>38</v>
      </c>
      <c r="O110" s="9" t="s">
        <v>79</v>
      </c>
    </row>
    <row r="111" spans="1:15" x14ac:dyDescent="0.25">
      <c r="A111" s="5" t="s">
        <v>192</v>
      </c>
      <c r="B111" s="6">
        <v>45913</v>
      </c>
      <c r="C111" t="s">
        <v>46</v>
      </c>
      <c r="D111" t="s">
        <v>18</v>
      </c>
      <c r="E111" t="s">
        <v>19</v>
      </c>
      <c r="F111" t="s">
        <v>20</v>
      </c>
      <c r="G111" t="s">
        <v>77</v>
      </c>
      <c r="H111" t="s">
        <v>99</v>
      </c>
      <c r="I111">
        <v>2</v>
      </c>
      <c r="J111" s="7">
        <v>24000</v>
      </c>
      <c r="K111" s="8">
        <v>0.1</v>
      </c>
      <c r="L111" s="7">
        <v>43200</v>
      </c>
      <c r="M111" s="7">
        <f>RawSalesTable[[#This Row],[Sales Amount]]-RawSalesTable[[#This Row],[Quantity]]*RawSalesTable[[#This Row],[Unit Price]]</f>
        <v>-4800</v>
      </c>
      <c r="N111" t="s">
        <v>50</v>
      </c>
      <c r="O111" s="9" t="s">
        <v>32</v>
      </c>
    </row>
    <row r="112" spans="1:15" x14ac:dyDescent="0.25">
      <c r="A112" s="5" t="s">
        <v>193</v>
      </c>
      <c r="B112" s="6">
        <v>45995</v>
      </c>
      <c r="C112" t="s">
        <v>61</v>
      </c>
      <c r="D112" t="s">
        <v>35</v>
      </c>
      <c r="E112" t="s">
        <v>36</v>
      </c>
      <c r="F112" t="s">
        <v>29</v>
      </c>
      <c r="G112" t="s">
        <v>77</v>
      </c>
      <c r="H112" t="s">
        <v>111</v>
      </c>
      <c r="I112">
        <v>3</v>
      </c>
      <c r="J112" s="7">
        <v>29000</v>
      </c>
      <c r="K112" s="8">
        <v>0</v>
      </c>
      <c r="L112" s="7">
        <v>87000</v>
      </c>
      <c r="M112" s="7">
        <f>RawSalesTable[[#This Row],[Sales Amount]]-RawSalesTable[[#This Row],[Quantity]]*RawSalesTable[[#This Row],[Unit Price]]</f>
        <v>0</v>
      </c>
      <c r="N112" t="s">
        <v>50</v>
      </c>
      <c r="O112" s="9" t="s">
        <v>24</v>
      </c>
    </row>
    <row r="113" spans="1:15" x14ac:dyDescent="0.25">
      <c r="A113" s="5" t="s">
        <v>194</v>
      </c>
      <c r="B113" s="6">
        <v>45741</v>
      </c>
      <c r="C113" t="s">
        <v>46</v>
      </c>
      <c r="D113" t="s">
        <v>92</v>
      </c>
      <c r="E113" t="s">
        <v>42</v>
      </c>
      <c r="F113" t="s">
        <v>43</v>
      </c>
      <c r="G113" t="s">
        <v>30</v>
      </c>
      <c r="H113" t="s">
        <v>31</v>
      </c>
      <c r="I113">
        <v>4</v>
      </c>
      <c r="J113" s="7">
        <v>3200</v>
      </c>
      <c r="K113" s="8">
        <v>0.1</v>
      </c>
      <c r="L113" s="7">
        <v>11520</v>
      </c>
      <c r="M113" s="7">
        <f>RawSalesTable[[#This Row],[Sales Amount]]-RawSalesTable[[#This Row],[Quantity]]*RawSalesTable[[#This Row],[Unit Price]]</f>
        <v>-1280</v>
      </c>
      <c r="N113" t="s">
        <v>50</v>
      </c>
      <c r="O113" s="9" t="s">
        <v>79</v>
      </c>
    </row>
    <row r="114" spans="1:15" x14ac:dyDescent="0.25">
      <c r="A114" s="5" t="s">
        <v>195</v>
      </c>
      <c r="B114" s="6">
        <v>45928</v>
      </c>
      <c r="C114" t="s">
        <v>94</v>
      </c>
      <c r="D114" t="s">
        <v>89</v>
      </c>
      <c r="E114" t="s">
        <v>87</v>
      </c>
      <c r="F114" t="s">
        <v>20</v>
      </c>
      <c r="G114" t="s">
        <v>48</v>
      </c>
      <c r="H114" t="s">
        <v>49</v>
      </c>
      <c r="I114">
        <v>2</v>
      </c>
      <c r="J114" s="7">
        <v>13500</v>
      </c>
      <c r="K114" s="8">
        <v>0</v>
      </c>
      <c r="L114" s="7">
        <v>27000</v>
      </c>
      <c r="M114" s="7">
        <f>RawSalesTable[[#This Row],[Sales Amount]]-RawSalesTable[[#This Row],[Quantity]]*RawSalesTable[[#This Row],[Unit Price]]</f>
        <v>0</v>
      </c>
      <c r="N114" t="s">
        <v>73</v>
      </c>
      <c r="O114" s="9" t="s">
        <v>24</v>
      </c>
    </row>
    <row r="115" spans="1:15" x14ac:dyDescent="0.25">
      <c r="A115" s="5" t="s">
        <v>196</v>
      </c>
      <c r="B115" s="6">
        <v>45812</v>
      </c>
      <c r="C115" t="s">
        <v>84</v>
      </c>
      <c r="D115" t="s">
        <v>110</v>
      </c>
      <c r="E115" t="s">
        <v>72</v>
      </c>
      <c r="F115" t="s">
        <v>43</v>
      </c>
      <c r="G115" t="s">
        <v>48</v>
      </c>
      <c r="H115" t="s">
        <v>105</v>
      </c>
      <c r="I115">
        <v>4</v>
      </c>
      <c r="J115" s="7">
        <v>21000</v>
      </c>
      <c r="K115" s="8">
        <v>0.15</v>
      </c>
      <c r="L115" s="7">
        <v>71400</v>
      </c>
      <c r="M115" s="7">
        <f>RawSalesTable[[#This Row],[Sales Amount]]-RawSalesTable[[#This Row],[Quantity]]*RawSalesTable[[#This Row],[Unit Price]]</f>
        <v>-12600</v>
      </c>
      <c r="N115" t="s">
        <v>73</v>
      </c>
      <c r="O115" s="9" t="s">
        <v>74</v>
      </c>
    </row>
    <row r="116" spans="1:15" x14ac:dyDescent="0.25">
      <c r="A116" s="5" t="s">
        <v>197</v>
      </c>
      <c r="B116" s="6">
        <v>45880</v>
      </c>
      <c r="C116" t="s">
        <v>94</v>
      </c>
      <c r="D116" t="s">
        <v>41</v>
      </c>
      <c r="E116" t="s">
        <v>42</v>
      </c>
      <c r="F116" t="s">
        <v>43</v>
      </c>
      <c r="G116" t="s">
        <v>54</v>
      </c>
      <c r="H116" t="s">
        <v>68</v>
      </c>
      <c r="I116">
        <v>4</v>
      </c>
      <c r="J116" s="7">
        <v>52000</v>
      </c>
      <c r="K116" s="8">
        <v>0.15</v>
      </c>
      <c r="L116" s="7">
        <v>176800</v>
      </c>
      <c r="M116" s="7">
        <f>RawSalesTable[[#This Row],[Sales Amount]]-RawSalesTable[[#This Row],[Quantity]]*RawSalesTable[[#This Row],[Unit Price]]</f>
        <v>-31200</v>
      </c>
      <c r="N116" t="s">
        <v>58</v>
      </c>
      <c r="O116" s="9" t="s">
        <v>32</v>
      </c>
    </row>
    <row r="117" spans="1:15" x14ac:dyDescent="0.25">
      <c r="A117" s="5" t="s">
        <v>198</v>
      </c>
      <c r="B117" s="6">
        <v>45758</v>
      </c>
      <c r="C117" t="s">
        <v>118</v>
      </c>
      <c r="D117" t="s">
        <v>81</v>
      </c>
      <c r="E117" t="s">
        <v>72</v>
      </c>
      <c r="F117" t="s">
        <v>43</v>
      </c>
      <c r="G117" t="s">
        <v>21</v>
      </c>
      <c r="H117" t="s">
        <v>22</v>
      </c>
      <c r="I117">
        <v>3</v>
      </c>
      <c r="J117" s="7">
        <v>1500</v>
      </c>
      <c r="K117" s="8">
        <v>0</v>
      </c>
      <c r="L117" s="7">
        <v>4500</v>
      </c>
      <c r="M117" s="7">
        <f>RawSalesTable[[#This Row],[Sales Amount]]-RawSalesTable[[#This Row],[Quantity]]*RawSalesTable[[#This Row],[Unit Price]]</f>
        <v>0</v>
      </c>
      <c r="N117" t="s">
        <v>38</v>
      </c>
      <c r="O117" s="9" t="s">
        <v>79</v>
      </c>
    </row>
    <row r="118" spans="1:15" x14ac:dyDescent="0.25">
      <c r="A118" s="5" t="s">
        <v>199</v>
      </c>
      <c r="B118" s="6">
        <v>45712</v>
      </c>
      <c r="C118" t="s">
        <v>34</v>
      </c>
      <c r="D118" t="s">
        <v>104</v>
      </c>
      <c r="E118" t="s">
        <v>19</v>
      </c>
      <c r="F118" t="s">
        <v>20</v>
      </c>
      <c r="G118" t="s">
        <v>21</v>
      </c>
      <c r="H118" t="s">
        <v>22</v>
      </c>
      <c r="I118">
        <v>2</v>
      </c>
      <c r="J118" s="7">
        <v>1500</v>
      </c>
      <c r="K118" s="8">
        <v>0.1</v>
      </c>
      <c r="L118" s="7">
        <v>2700</v>
      </c>
      <c r="M118" s="7">
        <f>RawSalesTable[[#This Row],[Sales Amount]]-RawSalesTable[[#This Row],[Quantity]]*RawSalesTable[[#This Row],[Unit Price]]</f>
        <v>-300</v>
      </c>
      <c r="N118" t="s">
        <v>50</v>
      </c>
      <c r="O118" s="9" t="s">
        <v>51</v>
      </c>
    </row>
    <row r="119" spans="1:15" x14ac:dyDescent="0.25">
      <c r="A119" s="5" t="s">
        <v>200</v>
      </c>
      <c r="B119" s="6">
        <v>46008</v>
      </c>
      <c r="C119" t="s">
        <v>46</v>
      </c>
      <c r="D119" t="s">
        <v>76</v>
      </c>
      <c r="E119" t="s">
        <v>42</v>
      </c>
      <c r="F119" t="s">
        <v>43</v>
      </c>
      <c r="G119" t="s">
        <v>21</v>
      </c>
      <c r="H119" t="s">
        <v>82</v>
      </c>
      <c r="I119">
        <v>2</v>
      </c>
      <c r="J119" s="7">
        <v>900</v>
      </c>
      <c r="K119" s="8">
        <v>0.05</v>
      </c>
      <c r="L119" s="7">
        <v>1710</v>
      </c>
      <c r="M119" s="7">
        <f>RawSalesTable[[#This Row],[Sales Amount]]-RawSalesTable[[#This Row],[Quantity]]*RawSalesTable[[#This Row],[Unit Price]]</f>
        <v>-90</v>
      </c>
      <c r="N119" t="s">
        <v>73</v>
      </c>
      <c r="O119" s="9" t="s">
        <v>59</v>
      </c>
    </row>
    <row r="120" spans="1:15" x14ac:dyDescent="0.25">
      <c r="A120" s="5" t="s">
        <v>201</v>
      </c>
      <c r="B120" s="6">
        <v>45830</v>
      </c>
      <c r="C120" t="s">
        <v>70</v>
      </c>
      <c r="D120" t="s">
        <v>67</v>
      </c>
      <c r="E120" t="s">
        <v>36</v>
      </c>
      <c r="F120" t="s">
        <v>29</v>
      </c>
      <c r="G120" t="s">
        <v>21</v>
      </c>
      <c r="H120" t="s">
        <v>22</v>
      </c>
      <c r="I120">
        <v>4</v>
      </c>
      <c r="J120" s="7">
        <v>1500</v>
      </c>
      <c r="K120" s="8">
        <v>0.1</v>
      </c>
      <c r="L120" s="7">
        <v>5400</v>
      </c>
      <c r="M120" s="7">
        <f>RawSalesTable[[#This Row],[Sales Amount]]-RawSalesTable[[#This Row],[Quantity]]*RawSalesTable[[#This Row],[Unit Price]]</f>
        <v>-600</v>
      </c>
      <c r="N120" t="s">
        <v>50</v>
      </c>
      <c r="O120" s="9" t="s">
        <v>97</v>
      </c>
    </row>
    <row r="121" spans="1:15" x14ac:dyDescent="0.25">
      <c r="A121" s="5" t="s">
        <v>202</v>
      </c>
      <c r="B121" s="6">
        <v>45824</v>
      </c>
      <c r="C121" t="s">
        <v>61</v>
      </c>
      <c r="D121" t="s">
        <v>76</v>
      </c>
      <c r="E121" t="s">
        <v>42</v>
      </c>
      <c r="F121" t="s">
        <v>43</v>
      </c>
      <c r="G121" t="s">
        <v>21</v>
      </c>
      <c r="H121" t="s">
        <v>22</v>
      </c>
      <c r="I121">
        <v>2</v>
      </c>
      <c r="J121" s="7">
        <v>1500</v>
      </c>
      <c r="K121" s="8">
        <v>0.1</v>
      </c>
      <c r="L121" s="7">
        <v>2700</v>
      </c>
      <c r="M121" s="7">
        <f>RawSalesTable[[#This Row],[Sales Amount]]-RawSalesTable[[#This Row],[Quantity]]*RawSalesTable[[#This Row],[Unit Price]]</f>
        <v>-300</v>
      </c>
      <c r="N121" t="s">
        <v>73</v>
      </c>
      <c r="O121" s="9" t="s">
        <v>39</v>
      </c>
    </row>
    <row r="122" spans="1:15" x14ac:dyDescent="0.25">
      <c r="A122" s="5" t="s">
        <v>203</v>
      </c>
      <c r="B122" s="6">
        <v>45737</v>
      </c>
      <c r="C122" t="s">
        <v>118</v>
      </c>
      <c r="D122" t="s">
        <v>76</v>
      </c>
      <c r="E122" t="s">
        <v>42</v>
      </c>
      <c r="F122" t="s">
        <v>43</v>
      </c>
      <c r="G122" t="s">
        <v>77</v>
      </c>
      <c r="H122" t="s">
        <v>78</v>
      </c>
      <c r="I122">
        <v>1</v>
      </c>
      <c r="J122" s="7">
        <v>21000</v>
      </c>
      <c r="K122" s="8">
        <v>0</v>
      </c>
      <c r="L122" s="7">
        <v>21000</v>
      </c>
      <c r="M122" s="7">
        <f>RawSalesTable[[#This Row],[Sales Amount]]-RawSalesTable[[#This Row],[Quantity]]*RawSalesTable[[#This Row],[Unit Price]]</f>
        <v>0</v>
      </c>
      <c r="N122" t="s">
        <v>58</v>
      </c>
      <c r="O122" s="9" t="s">
        <v>74</v>
      </c>
    </row>
    <row r="123" spans="1:15" x14ac:dyDescent="0.25">
      <c r="A123" s="5" t="s">
        <v>204</v>
      </c>
      <c r="B123" s="6">
        <v>45767</v>
      </c>
      <c r="C123" t="s">
        <v>84</v>
      </c>
      <c r="D123" t="s">
        <v>81</v>
      </c>
      <c r="E123" t="s">
        <v>72</v>
      </c>
      <c r="F123" t="s">
        <v>43</v>
      </c>
      <c r="G123" t="s">
        <v>48</v>
      </c>
      <c r="H123" t="s">
        <v>49</v>
      </c>
      <c r="I123">
        <v>2</v>
      </c>
      <c r="J123" s="7">
        <v>13500</v>
      </c>
      <c r="K123" s="8">
        <v>0.1</v>
      </c>
      <c r="L123" s="7">
        <v>24300</v>
      </c>
      <c r="M123" s="7">
        <f>RawSalesTable[[#This Row],[Sales Amount]]-RawSalesTable[[#This Row],[Quantity]]*RawSalesTable[[#This Row],[Unit Price]]</f>
        <v>-2700</v>
      </c>
      <c r="N123" t="s">
        <v>73</v>
      </c>
      <c r="O123" s="9" t="s">
        <v>97</v>
      </c>
    </row>
    <row r="124" spans="1:15" x14ac:dyDescent="0.25">
      <c r="A124" s="5" t="s">
        <v>205</v>
      </c>
      <c r="B124" s="6">
        <v>45798</v>
      </c>
      <c r="C124" t="s">
        <v>26</v>
      </c>
      <c r="D124" t="s">
        <v>138</v>
      </c>
      <c r="E124" t="s">
        <v>28</v>
      </c>
      <c r="F124" t="s">
        <v>29</v>
      </c>
      <c r="G124" t="s">
        <v>21</v>
      </c>
      <c r="H124" t="s">
        <v>22</v>
      </c>
      <c r="I124">
        <v>2</v>
      </c>
      <c r="J124" s="7">
        <v>1500</v>
      </c>
      <c r="K124" s="8">
        <v>0</v>
      </c>
      <c r="L124" s="7">
        <v>3000</v>
      </c>
      <c r="M124" s="7">
        <f>RawSalesTable[[#This Row],[Sales Amount]]-RawSalesTable[[#This Row],[Quantity]]*RawSalesTable[[#This Row],[Unit Price]]</f>
        <v>0</v>
      </c>
      <c r="N124" t="s">
        <v>73</v>
      </c>
      <c r="O124" s="9" t="s">
        <v>79</v>
      </c>
    </row>
    <row r="125" spans="1:15" x14ac:dyDescent="0.25">
      <c r="A125" s="5" t="s">
        <v>206</v>
      </c>
      <c r="B125" s="6">
        <v>45966</v>
      </c>
      <c r="C125" t="s">
        <v>17</v>
      </c>
      <c r="D125" t="s">
        <v>104</v>
      </c>
      <c r="E125" t="s">
        <v>19</v>
      </c>
      <c r="F125" t="s">
        <v>20</v>
      </c>
      <c r="G125" t="s">
        <v>30</v>
      </c>
      <c r="H125" t="s">
        <v>37</v>
      </c>
      <c r="I125">
        <v>1</v>
      </c>
      <c r="J125" s="7">
        <v>2800</v>
      </c>
      <c r="K125" s="8">
        <v>0</v>
      </c>
      <c r="L125" s="7">
        <v>2800</v>
      </c>
      <c r="M125" s="7">
        <f>RawSalesTable[[#This Row],[Sales Amount]]-RawSalesTable[[#This Row],[Quantity]]*RawSalesTable[[#This Row],[Unit Price]]</f>
        <v>0</v>
      </c>
      <c r="N125" t="s">
        <v>23</v>
      </c>
      <c r="O125" s="9" t="s">
        <v>79</v>
      </c>
    </row>
    <row r="126" spans="1:15" x14ac:dyDescent="0.25">
      <c r="A126" s="5" t="s">
        <v>207</v>
      </c>
      <c r="B126" s="6">
        <v>45798</v>
      </c>
      <c r="C126" t="s">
        <v>17</v>
      </c>
      <c r="D126" t="s">
        <v>18</v>
      </c>
      <c r="E126" t="s">
        <v>19</v>
      </c>
      <c r="F126" t="s">
        <v>20</v>
      </c>
      <c r="G126" t="s">
        <v>48</v>
      </c>
      <c r="H126" t="s">
        <v>49</v>
      </c>
      <c r="I126">
        <v>4</v>
      </c>
      <c r="J126" s="7">
        <v>13500</v>
      </c>
      <c r="K126" s="8">
        <v>0.15</v>
      </c>
      <c r="L126" s="7">
        <v>45900</v>
      </c>
      <c r="M126" s="7">
        <f>RawSalesTable[[#This Row],[Sales Amount]]-RawSalesTable[[#This Row],[Quantity]]*RawSalesTable[[#This Row],[Unit Price]]</f>
        <v>-8100</v>
      </c>
      <c r="N126" t="s">
        <v>23</v>
      </c>
      <c r="O126" s="9" t="s">
        <v>24</v>
      </c>
    </row>
    <row r="127" spans="1:15" x14ac:dyDescent="0.25">
      <c r="A127" s="5" t="s">
        <v>208</v>
      </c>
      <c r="B127" s="6">
        <v>45844</v>
      </c>
      <c r="C127" t="s">
        <v>118</v>
      </c>
      <c r="D127" t="s">
        <v>104</v>
      </c>
      <c r="E127" t="s">
        <v>19</v>
      </c>
      <c r="F127" t="s">
        <v>20</v>
      </c>
      <c r="G127" t="s">
        <v>30</v>
      </c>
      <c r="H127" t="s">
        <v>57</v>
      </c>
      <c r="I127">
        <v>1</v>
      </c>
      <c r="J127" s="7">
        <v>4500</v>
      </c>
      <c r="K127" s="8">
        <v>0.1</v>
      </c>
      <c r="L127" s="7">
        <v>4050</v>
      </c>
      <c r="M127" s="7">
        <f>RawSalesTable[[#This Row],[Sales Amount]]-RawSalesTable[[#This Row],[Quantity]]*RawSalesTable[[#This Row],[Unit Price]]</f>
        <v>-450</v>
      </c>
      <c r="N127" t="s">
        <v>38</v>
      </c>
      <c r="O127" s="9" t="s">
        <v>74</v>
      </c>
    </row>
    <row r="128" spans="1:15" x14ac:dyDescent="0.25">
      <c r="A128" s="5" t="s">
        <v>209</v>
      </c>
      <c r="B128" s="6">
        <v>45768</v>
      </c>
      <c r="C128" t="s">
        <v>84</v>
      </c>
      <c r="D128" t="s">
        <v>86</v>
      </c>
      <c r="E128" t="s">
        <v>87</v>
      </c>
      <c r="F128" t="s">
        <v>20</v>
      </c>
      <c r="G128" t="s">
        <v>54</v>
      </c>
      <c r="H128" t="s">
        <v>68</v>
      </c>
      <c r="I128">
        <v>3</v>
      </c>
      <c r="J128" s="7">
        <v>52000</v>
      </c>
      <c r="K128" s="8">
        <v>0.05</v>
      </c>
      <c r="L128" s="7">
        <v>148200</v>
      </c>
      <c r="M128" s="7">
        <f>RawSalesTable[[#This Row],[Sales Amount]]-RawSalesTable[[#This Row],[Quantity]]*RawSalesTable[[#This Row],[Unit Price]]</f>
        <v>-7800</v>
      </c>
      <c r="N128" t="s">
        <v>38</v>
      </c>
      <c r="O128" s="9" t="s">
        <v>59</v>
      </c>
    </row>
    <row r="129" spans="1:15" x14ac:dyDescent="0.25">
      <c r="A129" s="5" t="s">
        <v>210</v>
      </c>
      <c r="B129" s="6">
        <v>45828</v>
      </c>
      <c r="C129" t="s">
        <v>94</v>
      </c>
      <c r="D129" t="s">
        <v>86</v>
      </c>
      <c r="E129" t="s">
        <v>87</v>
      </c>
      <c r="F129" t="s">
        <v>20</v>
      </c>
      <c r="G129" t="s">
        <v>30</v>
      </c>
      <c r="H129" t="s">
        <v>31</v>
      </c>
      <c r="I129">
        <v>4</v>
      </c>
      <c r="J129" s="7">
        <v>3200</v>
      </c>
      <c r="K129" s="8">
        <v>0.05</v>
      </c>
      <c r="L129" s="7">
        <v>12160</v>
      </c>
      <c r="M129" s="7">
        <f>RawSalesTable[[#This Row],[Sales Amount]]-RawSalesTable[[#This Row],[Quantity]]*RawSalesTable[[#This Row],[Unit Price]]</f>
        <v>-640</v>
      </c>
      <c r="N129" t="s">
        <v>58</v>
      </c>
      <c r="O129" s="9" t="s">
        <v>32</v>
      </c>
    </row>
    <row r="130" spans="1:15" x14ac:dyDescent="0.25">
      <c r="A130" s="5" t="s">
        <v>211</v>
      </c>
      <c r="B130" s="6">
        <v>45847</v>
      </c>
      <c r="C130" t="s">
        <v>118</v>
      </c>
      <c r="D130" t="s">
        <v>95</v>
      </c>
      <c r="E130" t="s">
        <v>87</v>
      </c>
      <c r="F130" t="s">
        <v>20</v>
      </c>
      <c r="G130" t="s">
        <v>21</v>
      </c>
      <c r="H130" t="s">
        <v>44</v>
      </c>
      <c r="I130">
        <v>4</v>
      </c>
      <c r="J130" s="7">
        <v>1200</v>
      </c>
      <c r="K130" s="8">
        <v>0.05</v>
      </c>
      <c r="L130" s="7">
        <v>4560</v>
      </c>
      <c r="M130" s="7">
        <f>RawSalesTable[[#This Row],[Sales Amount]]-RawSalesTable[[#This Row],[Quantity]]*RawSalesTable[[#This Row],[Unit Price]]</f>
        <v>-240</v>
      </c>
      <c r="N130" t="s">
        <v>23</v>
      </c>
      <c r="O130" s="9" t="s">
        <v>59</v>
      </c>
    </row>
    <row r="131" spans="1:15" x14ac:dyDescent="0.25">
      <c r="A131" s="5" t="s">
        <v>212</v>
      </c>
      <c r="B131" s="6">
        <v>45725</v>
      </c>
      <c r="C131" t="s">
        <v>61</v>
      </c>
      <c r="D131" t="s">
        <v>27</v>
      </c>
      <c r="E131" t="s">
        <v>28</v>
      </c>
      <c r="F131" t="s">
        <v>29</v>
      </c>
      <c r="G131" t="s">
        <v>30</v>
      </c>
      <c r="H131" t="s">
        <v>31</v>
      </c>
      <c r="I131">
        <v>3</v>
      </c>
      <c r="J131" s="7">
        <v>3200</v>
      </c>
      <c r="K131" s="8">
        <v>0.1</v>
      </c>
      <c r="L131" s="7">
        <v>8640</v>
      </c>
      <c r="M131" s="7">
        <f>RawSalesTable[[#This Row],[Sales Amount]]-RawSalesTable[[#This Row],[Quantity]]*RawSalesTable[[#This Row],[Unit Price]]</f>
        <v>-960</v>
      </c>
      <c r="N131" t="s">
        <v>50</v>
      </c>
      <c r="O131" s="9" t="s">
        <v>51</v>
      </c>
    </row>
    <row r="132" spans="1:15" x14ac:dyDescent="0.25">
      <c r="A132" s="5" t="s">
        <v>213</v>
      </c>
      <c r="B132" s="6">
        <v>45978</v>
      </c>
      <c r="C132" t="s">
        <v>17</v>
      </c>
      <c r="D132" t="s">
        <v>138</v>
      </c>
      <c r="E132" t="s">
        <v>28</v>
      </c>
      <c r="F132" t="s">
        <v>29</v>
      </c>
      <c r="G132" t="s">
        <v>30</v>
      </c>
      <c r="H132" t="s">
        <v>57</v>
      </c>
      <c r="I132">
        <v>2</v>
      </c>
      <c r="J132" s="7">
        <v>4500</v>
      </c>
      <c r="K132" s="8">
        <v>0.1</v>
      </c>
      <c r="L132" s="7">
        <v>8100</v>
      </c>
      <c r="M132" s="7">
        <f>RawSalesTable[[#This Row],[Sales Amount]]-RawSalesTable[[#This Row],[Quantity]]*RawSalesTable[[#This Row],[Unit Price]]</f>
        <v>-900</v>
      </c>
      <c r="N132" t="s">
        <v>38</v>
      </c>
      <c r="O132" s="9" t="s">
        <v>74</v>
      </c>
    </row>
    <row r="133" spans="1:15" x14ac:dyDescent="0.25">
      <c r="A133" s="5" t="s">
        <v>214</v>
      </c>
      <c r="B133" s="6">
        <v>45814</v>
      </c>
      <c r="C133" t="s">
        <v>46</v>
      </c>
      <c r="D133" t="s">
        <v>102</v>
      </c>
      <c r="E133" t="s">
        <v>36</v>
      </c>
      <c r="F133" t="s">
        <v>29</v>
      </c>
      <c r="G133" t="s">
        <v>48</v>
      </c>
      <c r="H133" t="s">
        <v>49</v>
      </c>
      <c r="I133">
        <v>1</v>
      </c>
      <c r="J133" s="7">
        <v>13500</v>
      </c>
      <c r="K133" s="8">
        <v>0.15</v>
      </c>
      <c r="L133" s="7">
        <v>11475</v>
      </c>
      <c r="M133" s="7">
        <f>RawSalesTable[[#This Row],[Sales Amount]]-RawSalesTable[[#This Row],[Quantity]]*RawSalesTable[[#This Row],[Unit Price]]</f>
        <v>-2025</v>
      </c>
      <c r="N133" t="s">
        <v>38</v>
      </c>
      <c r="O133" s="9" t="s">
        <v>51</v>
      </c>
    </row>
    <row r="134" spans="1:15" x14ac:dyDescent="0.25">
      <c r="A134" s="5" t="s">
        <v>215</v>
      </c>
      <c r="B134" s="6">
        <v>45998</v>
      </c>
      <c r="C134" t="s">
        <v>53</v>
      </c>
      <c r="D134" t="s">
        <v>89</v>
      </c>
      <c r="E134" t="s">
        <v>87</v>
      </c>
      <c r="F134" t="s">
        <v>20</v>
      </c>
      <c r="G134" t="s">
        <v>21</v>
      </c>
      <c r="H134" t="s">
        <v>44</v>
      </c>
      <c r="I134">
        <v>2</v>
      </c>
      <c r="J134" s="7">
        <v>1200</v>
      </c>
      <c r="K134" s="8">
        <v>0.15</v>
      </c>
      <c r="L134" s="7">
        <v>2040</v>
      </c>
      <c r="M134" s="7">
        <f>RawSalesTable[[#This Row],[Sales Amount]]-RawSalesTable[[#This Row],[Quantity]]*RawSalesTable[[#This Row],[Unit Price]]</f>
        <v>-360</v>
      </c>
      <c r="N134" t="s">
        <v>50</v>
      </c>
      <c r="O134" s="9" t="s">
        <v>32</v>
      </c>
    </row>
    <row r="135" spans="1:15" x14ac:dyDescent="0.25">
      <c r="A135" s="5" t="s">
        <v>216</v>
      </c>
      <c r="B135" s="6">
        <v>45701</v>
      </c>
      <c r="C135" t="s">
        <v>17</v>
      </c>
      <c r="D135" t="s">
        <v>76</v>
      </c>
      <c r="E135" t="s">
        <v>42</v>
      </c>
      <c r="F135" t="s">
        <v>43</v>
      </c>
      <c r="G135" t="s">
        <v>54</v>
      </c>
      <c r="H135" t="s">
        <v>63</v>
      </c>
      <c r="I135">
        <v>4</v>
      </c>
      <c r="J135" s="7">
        <v>61000</v>
      </c>
      <c r="K135" s="8">
        <v>0</v>
      </c>
      <c r="L135" s="7">
        <v>244000</v>
      </c>
      <c r="M135" s="7">
        <f>RawSalesTable[[#This Row],[Sales Amount]]-RawSalesTable[[#This Row],[Quantity]]*RawSalesTable[[#This Row],[Unit Price]]</f>
        <v>0</v>
      </c>
      <c r="N135" t="s">
        <v>50</v>
      </c>
      <c r="O135" s="9" t="s">
        <v>74</v>
      </c>
    </row>
    <row r="136" spans="1:15" x14ac:dyDescent="0.25">
      <c r="A136" s="5" t="s">
        <v>217</v>
      </c>
      <c r="B136" s="6">
        <v>45929</v>
      </c>
      <c r="C136" t="s">
        <v>53</v>
      </c>
      <c r="D136" t="s">
        <v>81</v>
      </c>
      <c r="E136" t="s">
        <v>72</v>
      </c>
      <c r="F136" t="s">
        <v>43</v>
      </c>
      <c r="G136" t="s">
        <v>21</v>
      </c>
      <c r="H136" t="s">
        <v>82</v>
      </c>
      <c r="I136">
        <v>3</v>
      </c>
      <c r="J136" s="7">
        <v>900</v>
      </c>
      <c r="K136" s="8">
        <v>0.1</v>
      </c>
      <c r="L136" s="7">
        <v>2430</v>
      </c>
      <c r="M136" s="7">
        <f>RawSalesTable[[#This Row],[Sales Amount]]-RawSalesTable[[#This Row],[Quantity]]*RawSalesTable[[#This Row],[Unit Price]]</f>
        <v>-270</v>
      </c>
      <c r="N136" t="s">
        <v>38</v>
      </c>
      <c r="O136" s="9" t="s">
        <v>79</v>
      </c>
    </row>
    <row r="137" spans="1:15" x14ac:dyDescent="0.25">
      <c r="A137" s="5" t="s">
        <v>218</v>
      </c>
      <c r="B137" s="6">
        <v>45701</v>
      </c>
      <c r="C137" t="s">
        <v>94</v>
      </c>
      <c r="D137" t="s">
        <v>104</v>
      </c>
      <c r="E137" t="s">
        <v>19</v>
      </c>
      <c r="F137" t="s">
        <v>20</v>
      </c>
      <c r="G137" t="s">
        <v>21</v>
      </c>
      <c r="H137" t="s">
        <v>44</v>
      </c>
      <c r="I137">
        <v>3</v>
      </c>
      <c r="J137" s="7">
        <v>1200</v>
      </c>
      <c r="K137" s="8">
        <v>0</v>
      </c>
      <c r="L137" s="7">
        <v>3600</v>
      </c>
      <c r="M137" s="7">
        <f>RawSalesTable[[#This Row],[Sales Amount]]-RawSalesTable[[#This Row],[Quantity]]*RawSalesTable[[#This Row],[Unit Price]]</f>
        <v>0</v>
      </c>
      <c r="N137" t="s">
        <v>50</v>
      </c>
      <c r="O137" s="9" t="s">
        <v>51</v>
      </c>
    </row>
    <row r="138" spans="1:15" x14ac:dyDescent="0.25">
      <c r="A138" s="5" t="s">
        <v>219</v>
      </c>
      <c r="B138" s="6">
        <v>45944</v>
      </c>
      <c r="C138" t="s">
        <v>61</v>
      </c>
      <c r="D138" t="s">
        <v>27</v>
      </c>
      <c r="E138" t="s">
        <v>28</v>
      </c>
      <c r="F138" t="s">
        <v>29</v>
      </c>
      <c r="G138" t="s">
        <v>48</v>
      </c>
      <c r="H138" t="s">
        <v>105</v>
      </c>
      <c r="I138">
        <v>2</v>
      </c>
      <c r="J138" s="7">
        <v>21000</v>
      </c>
      <c r="K138" s="8">
        <v>0.15</v>
      </c>
      <c r="L138" s="7">
        <v>35700</v>
      </c>
      <c r="M138" s="7">
        <f>RawSalesTable[[#This Row],[Sales Amount]]-RawSalesTable[[#This Row],[Quantity]]*RawSalesTable[[#This Row],[Unit Price]]</f>
        <v>-6300</v>
      </c>
      <c r="N138" t="s">
        <v>58</v>
      </c>
      <c r="O138" s="9" t="s">
        <v>51</v>
      </c>
    </row>
    <row r="139" spans="1:15" x14ac:dyDescent="0.25">
      <c r="A139" s="5" t="s">
        <v>220</v>
      </c>
      <c r="B139" s="6">
        <v>45983</v>
      </c>
      <c r="C139" t="s">
        <v>118</v>
      </c>
      <c r="D139" t="s">
        <v>71</v>
      </c>
      <c r="E139" t="s">
        <v>72</v>
      </c>
      <c r="F139" t="s">
        <v>43</v>
      </c>
      <c r="G139" t="s">
        <v>77</v>
      </c>
      <c r="H139" t="s">
        <v>111</v>
      </c>
      <c r="I139">
        <v>1</v>
      </c>
      <c r="J139" s="7">
        <v>29000</v>
      </c>
      <c r="K139" s="8">
        <v>0.1</v>
      </c>
      <c r="L139" s="7">
        <v>26100</v>
      </c>
      <c r="M139" s="7">
        <f>RawSalesTable[[#This Row],[Sales Amount]]-RawSalesTable[[#This Row],[Quantity]]*RawSalesTable[[#This Row],[Unit Price]]</f>
        <v>-2900</v>
      </c>
      <c r="N139" t="s">
        <v>23</v>
      </c>
      <c r="O139" s="9" t="s">
        <v>74</v>
      </c>
    </row>
    <row r="140" spans="1:15" x14ac:dyDescent="0.25">
      <c r="A140" s="5" t="s">
        <v>221</v>
      </c>
      <c r="B140" s="6">
        <v>45683</v>
      </c>
      <c r="C140" t="s">
        <v>94</v>
      </c>
      <c r="D140" t="s">
        <v>41</v>
      </c>
      <c r="E140" t="s">
        <v>42</v>
      </c>
      <c r="F140" t="s">
        <v>43</v>
      </c>
      <c r="G140" t="s">
        <v>21</v>
      </c>
      <c r="H140" t="s">
        <v>22</v>
      </c>
      <c r="I140">
        <v>2</v>
      </c>
      <c r="J140" s="7">
        <v>1500</v>
      </c>
      <c r="K140" s="8">
        <v>0.15</v>
      </c>
      <c r="L140" s="7">
        <v>2550</v>
      </c>
      <c r="M140" s="7">
        <f>RawSalesTable[[#This Row],[Sales Amount]]-RawSalesTable[[#This Row],[Quantity]]*RawSalesTable[[#This Row],[Unit Price]]</f>
        <v>-450</v>
      </c>
      <c r="N140" t="s">
        <v>58</v>
      </c>
      <c r="O140" s="9" t="s">
        <v>24</v>
      </c>
    </row>
    <row r="141" spans="1:15" x14ac:dyDescent="0.25">
      <c r="A141" s="5" t="s">
        <v>222</v>
      </c>
      <c r="B141" s="6">
        <v>45897</v>
      </c>
      <c r="C141" t="s">
        <v>46</v>
      </c>
      <c r="D141" t="s">
        <v>35</v>
      </c>
      <c r="E141" t="s">
        <v>36</v>
      </c>
      <c r="F141" t="s">
        <v>29</v>
      </c>
      <c r="G141" t="s">
        <v>54</v>
      </c>
      <c r="H141" t="s">
        <v>55</v>
      </c>
      <c r="I141">
        <v>2</v>
      </c>
      <c r="J141" s="7">
        <v>58000</v>
      </c>
      <c r="K141" s="8">
        <v>0.1</v>
      </c>
      <c r="L141" s="7">
        <v>104400</v>
      </c>
      <c r="M141" s="7">
        <f>RawSalesTable[[#This Row],[Sales Amount]]-RawSalesTable[[#This Row],[Quantity]]*RawSalesTable[[#This Row],[Unit Price]]</f>
        <v>-11600</v>
      </c>
      <c r="N141" t="s">
        <v>58</v>
      </c>
      <c r="O141" s="9" t="s">
        <v>74</v>
      </c>
    </row>
    <row r="142" spans="1:15" x14ac:dyDescent="0.25">
      <c r="A142" s="5" t="s">
        <v>223</v>
      </c>
      <c r="B142" s="6">
        <v>45687</v>
      </c>
      <c r="C142" t="s">
        <v>26</v>
      </c>
      <c r="D142" t="s">
        <v>35</v>
      </c>
      <c r="E142" t="s">
        <v>36</v>
      </c>
      <c r="F142" t="s">
        <v>29</v>
      </c>
      <c r="G142" t="s">
        <v>30</v>
      </c>
      <c r="H142" t="s">
        <v>57</v>
      </c>
      <c r="I142">
        <v>3</v>
      </c>
      <c r="J142" s="7">
        <v>4500</v>
      </c>
      <c r="K142" s="8">
        <v>0.05</v>
      </c>
      <c r="L142" s="7">
        <v>12825</v>
      </c>
      <c r="M142" s="7">
        <f>RawSalesTable[[#This Row],[Sales Amount]]-RawSalesTable[[#This Row],[Quantity]]*RawSalesTable[[#This Row],[Unit Price]]</f>
        <v>-675</v>
      </c>
      <c r="N142" t="s">
        <v>38</v>
      </c>
      <c r="O142" s="9" t="s">
        <v>97</v>
      </c>
    </row>
    <row r="143" spans="1:15" x14ac:dyDescent="0.25">
      <c r="A143" s="5" t="s">
        <v>224</v>
      </c>
      <c r="B143" s="6">
        <v>45957</v>
      </c>
      <c r="C143" t="s">
        <v>61</v>
      </c>
      <c r="D143" t="s">
        <v>102</v>
      </c>
      <c r="E143" t="s">
        <v>36</v>
      </c>
      <c r="F143" t="s">
        <v>29</v>
      </c>
      <c r="G143" t="s">
        <v>77</v>
      </c>
      <c r="H143" t="s">
        <v>99</v>
      </c>
      <c r="I143">
        <v>2</v>
      </c>
      <c r="J143" s="7">
        <v>24000</v>
      </c>
      <c r="K143" s="8">
        <v>0.05</v>
      </c>
      <c r="L143" s="7">
        <v>45600</v>
      </c>
      <c r="M143" s="7">
        <f>RawSalesTable[[#This Row],[Sales Amount]]-RawSalesTable[[#This Row],[Quantity]]*RawSalesTable[[#This Row],[Unit Price]]</f>
        <v>-2400</v>
      </c>
      <c r="N143" t="s">
        <v>23</v>
      </c>
      <c r="O143" s="9" t="s">
        <v>51</v>
      </c>
    </row>
    <row r="144" spans="1:15" x14ac:dyDescent="0.25">
      <c r="A144" s="5" t="s">
        <v>225</v>
      </c>
      <c r="B144" s="6">
        <v>45664</v>
      </c>
      <c r="C144" t="s">
        <v>46</v>
      </c>
      <c r="D144" t="s">
        <v>41</v>
      </c>
      <c r="E144" t="s">
        <v>42</v>
      </c>
      <c r="F144" t="s">
        <v>43</v>
      </c>
      <c r="G144" t="s">
        <v>30</v>
      </c>
      <c r="H144" t="s">
        <v>31</v>
      </c>
      <c r="I144">
        <v>3</v>
      </c>
      <c r="J144" s="7">
        <v>3200</v>
      </c>
      <c r="K144" s="8">
        <v>0.15</v>
      </c>
      <c r="L144" s="7">
        <v>8160</v>
      </c>
      <c r="M144" s="7">
        <f>RawSalesTable[[#This Row],[Sales Amount]]-RawSalesTable[[#This Row],[Quantity]]*RawSalesTable[[#This Row],[Unit Price]]</f>
        <v>-1440</v>
      </c>
      <c r="N144" t="s">
        <v>38</v>
      </c>
      <c r="O144" s="9" t="s">
        <v>79</v>
      </c>
    </row>
    <row r="145" spans="1:15" x14ac:dyDescent="0.25">
      <c r="A145" s="5" t="s">
        <v>226</v>
      </c>
      <c r="B145" s="6">
        <v>45979</v>
      </c>
      <c r="C145" t="s">
        <v>34</v>
      </c>
      <c r="D145" t="s">
        <v>95</v>
      </c>
      <c r="E145" t="s">
        <v>87</v>
      </c>
      <c r="F145" t="s">
        <v>20</v>
      </c>
      <c r="G145" t="s">
        <v>48</v>
      </c>
      <c r="H145" t="s">
        <v>90</v>
      </c>
      <c r="I145">
        <v>4</v>
      </c>
      <c r="J145" s="7">
        <v>14500</v>
      </c>
      <c r="K145" s="8">
        <v>0.15</v>
      </c>
      <c r="L145" s="7">
        <v>49300</v>
      </c>
      <c r="M145" s="7">
        <f>RawSalesTable[[#This Row],[Sales Amount]]-RawSalesTable[[#This Row],[Quantity]]*RawSalesTable[[#This Row],[Unit Price]]</f>
        <v>-8700</v>
      </c>
      <c r="N145" t="s">
        <v>50</v>
      </c>
      <c r="O145" s="9" t="s">
        <v>39</v>
      </c>
    </row>
    <row r="146" spans="1:15" x14ac:dyDescent="0.25">
      <c r="A146" s="5" t="s">
        <v>227</v>
      </c>
      <c r="B146" s="6">
        <v>45824</v>
      </c>
      <c r="C146" t="s">
        <v>46</v>
      </c>
      <c r="D146" t="s">
        <v>35</v>
      </c>
      <c r="E146" t="s">
        <v>36</v>
      </c>
      <c r="F146" t="s">
        <v>29</v>
      </c>
      <c r="G146" t="s">
        <v>30</v>
      </c>
      <c r="H146" t="s">
        <v>37</v>
      </c>
      <c r="I146">
        <v>4</v>
      </c>
      <c r="J146" s="7">
        <v>2800</v>
      </c>
      <c r="K146" s="8">
        <v>0.15</v>
      </c>
      <c r="L146" s="7">
        <v>9520</v>
      </c>
      <c r="M146" s="7">
        <f>RawSalesTable[[#This Row],[Sales Amount]]-RawSalesTable[[#This Row],[Quantity]]*RawSalesTable[[#This Row],[Unit Price]]</f>
        <v>-1680</v>
      </c>
      <c r="N146" t="s">
        <v>23</v>
      </c>
      <c r="O146" s="9" t="s">
        <v>32</v>
      </c>
    </row>
    <row r="147" spans="1:15" x14ac:dyDescent="0.25">
      <c r="A147" s="5" t="s">
        <v>228</v>
      </c>
      <c r="B147" s="6">
        <v>45846</v>
      </c>
      <c r="C147" t="s">
        <v>46</v>
      </c>
      <c r="D147" t="s">
        <v>76</v>
      </c>
      <c r="E147" t="s">
        <v>42</v>
      </c>
      <c r="F147" t="s">
        <v>43</v>
      </c>
      <c r="G147" t="s">
        <v>30</v>
      </c>
      <c r="H147" t="s">
        <v>37</v>
      </c>
      <c r="I147">
        <v>3</v>
      </c>
      <c r="J147" s="7">
        <v>2800</v>
      </c>
      <c r="K147" s="8">
        <v>0</v>
      </c>
      <c r="L147" s="7">
        <v>8400</v>
      </c>
      <c r="M147" s="7">
        <f>RawSalesTable[[#This Row],[Sales Amount]]-RawSalesTable[[#This Row],[Quantity]]*RawSalesTable[[#This Row],[Unit Price]]</f>
        <v>0</v>
      </c>
      <c r="N147" t="s">
        <v>38</v>
      </c>
      <c r="O147" s="9" t="s">
        <v>32</v>
      </c>
    </row>
    <row r="148" spans="1:15" x14ac:dyDescent="0.25">
      <c r="A148" s="5" t="s">
        <v>229</v>
      </c>
      <c r="B148" s="6">
        <v>45975</v>
      </c>
      <c r="C148" t="s">
        <v>84</v>
      </c>
      <c r="D148" t="s">
        <v>138</v>
      </c>
      <c r="E148" t="s">
        <v>28</v>
      </c>
      <c r="F148" t="s">
        <v>29</v>
      </c>
      <c r="G148" t="s">
        <v>54</v>
      </c>
      <c r="H148" t="s">
        <v>63</v>
      </c>
      <c r="I148">
        <v>2</v>
      </c>
      <c r="J148" s="7">
        <v>61000</v>
      </c>
      <c r="K148" s="8">
        <v>0.05</v>
      </c>
      <c r="L148" s="7">
        <v>115900</v>
      </c>
      <c r="M148" s="7">
        <f>RawSalesTable[[#This Row],[Sales Amount]]-RawSalesTable[[#This Row],[Quantity]]*RawSalesTable[[#This Row],[Unit Price]]</f>
        <v>-6100</v>
      </c>
      <c r="N148" t="s">
        <v>58</v>
      </c>
      <c r="O148" s="9" t="s">
        <v>97</v>
      </c>
    </row>
    <row r="149" spans="1:15" x14ac:dyDescent="0.25">
      <c r="A149" s="5" t="s">
        <v>230</v>
      </c>
      <c r="B149" s="6">
        <v>45718</v>
      </c>
      <c r="C149" t="s">
        <v>26</v>
      </c>
      <c r="D149" t="s">
        <v>89</v>
      </c>
      <c r="E149" t="s">
        <v>87</v>
      </c>
      <c r="F149" t="s">
        <v>20</v>
      </c>
      <c r="G149" t="s">
        <v>30</v>
      </c>
      <c r="H149" t="s">
        <v>37</v>
      </c>
      <c r="I149">
        <v>3</v>
      </c>
      <c r="J149" s="7">
        <v>2800</v>
      </c>
      <c r="K149" s="8">
        <v>0.1</v>
      </c>
      <c r="L149" s="7">
        <v>7560</v>
      </c>
      <c r="M149" s="7">
        <f>RawSalesTable[[#This Row],[Sales Amount]]-RawSalesTable[[#This Row],[Quantity]]*RawSalesTable[[#This Row],[Unit Price]]</f>
        <v>-840</v>
      </c>
      <c r="N149" t="s">
        <v>38</v>
      </c>
      <c r="O149" s="9" t="s">
        <v>97</v>
      </c>
    </row>
    <row r="150" spans="1:15" x14ac:dyDescent="0.25">
      <c r="A150" s="5" t="s">
        <v>231</v>
      </c>
      <c r="B150" s="6">
        <v>45822</v>
      </c>
      <c r="C150" t="s">
        <v>53</v>
      </c>
      <c r="D150" t="s">
        <v>102</v>
      </c>
      <c r="E150" t="s">
        <v>36</v>
      </c>
      <c r="F150" t="s">
        <v>29</v>
      </c>
      <c r="G150" t="s">
        <v>77</v>
      </c>
      <c r="H150" t="s">
        <v>111</v>
      </c>
      <c r="I150">
        <v>1</v>
      </c>
      <c r="J150" s="7">
        <v>29000</v>
      </c>
      <c r="K150" s="8">
        <v>0</v>
      </c>
      <c r="L150" s="7">
        <v>29000</v>
      </c>
      <c r="M150" s="7">
        <f>RawSalesTable[[#This Row],[Sales Amount]]-RawSalesTable[[#This Row],[Quantity]]*RawSalesTable[[#This Row],[Unit Price]]</f>
        <v>0</v>
      </c>
      <c r="N150" t="s">
        <v>50</v>
      </c>
      <c r="O150" s="9" t="s">
        <v>59</v>
      </c>
    </row>
    <row r="151" spans="1:15" x14ac:dyDescent="0.25">
      <c r="A151" s="5" t="s">
        <v>232</v>
      </c>
      <c r="B151" s="6">
        <v>45664</v>
      </c>
      <c r="C151" t="s">
        <v>84</v>
      </c>
      <c r="D151" t="s">
        <v>18</v>
      </c>
      <c r="E151" t="s">
        <v>19</v>
      </c>
      <c r="F151" t="s">
        <v>20</v>
      </c>
      <c r="G151" t="s">
        <v>30</v>
      </c>
      <c r="H151" t="s">
        <v>31</v>
      </c>
      <c r="I151">
        <v>2</v>
      </c>
      <c r="J151" s="7">
        <v>3200</v>
      </c>
      <c r="K151" s="8">
        <v>0.05</v>
      </c>
      <c r="L151" s="7">
        <v>6080</v>
      </c>
      <c r="M151" s="7">
        <f>RawSalesTable[[#This Row],[Sales Amount]]-RawSalesTable[[#This Row],[Quantity]]*RawSalesTable[[#This Row],[Unit Price]]</f>
        <v>-320</v>
      </c>
      <c r="N151" t="s">
        <v>23</v>
      </c>
      <c r="O151" s="9" t="s">
        <v>97</v>
      </c>
    </row>
    <row r="152" spans="1:15" x14ac:dyDescent="0.25">
      <c r="A152" s="5" t="s">
        <v>233</v>
      </c>
      <c r="B152" s="6">
        <v>45762</v>
      </c>
      <c r="C152" t="s">
        <v>70</v>
      </c>
      <c r="D152" t="s">
        <v>76</v>
      </c>
      <c r="E152" t="s">
        <v>42</v>
      </c>
      <c r="F152" t="s">
        <v>43</v>
      </c>
      <c r="G152" t="s">
        <v>21</v>
      </c>
      <c r="H152" t="s">
        <v>44</v>
      </c>
      <c r="I152">
        <v>1</v>
      </c>
      <c r="J152" s="7">
        <v>1200</v>
      </c>
      <c r="K152" s="8">
        <v>0.15</v>
      </c>
      <c r="L152" s="7">
        <v>1020</v>
      </c>
      <c r="M152" s="7">
        <f>RawSalesTable[[#This Row],[Sales Amount]]-RawSalesTable[[#This Row],[Quantity]]*RawSalesTable[[#This Row],[Unit Price]]</f>
        <v>-180</v>
      </c>
      <c r="N152" t="s">
        <v>73</v>
      </c>
      <c r="O152" s="9" t="s">
        <v>39</v>
      </c>
    </row>
    <row r="153" spans="1:15" x14ac:dyDescent="0.25">
      <c r="A153" s="5" t="s">
        <v>234</v>
      </c>
      <c r="B153" s="6">
        <v>45921</v>
      </c>
      <c r="C153" t="s">
        <v>61</v>
      </c>
      <c r="D153" t="s">
        <v>35</v>
      </c>
      <c r="E153" t="s">
        <v>36</v>
      </c>
      <c r="F153" t="s">
        <v>29</v>
      </c>
      <c r="G153" t="s">
        <v>30</v>
      </c>
      <c r="H153" t="s">
        <v>57</v>
      </c>
      <c r="I153">
        <v>4</v>
      </c>
      <c r="J153" s="7">
        <v>4500</v>
      </c>
      <c r="K153" s="8">
        <v>0.15</v>
      </c>
      <c r="L153" s="7">
        <v>15300</v>
      </c>
      <c r="M153" s="7">
        <f>RawSalesTable[[#This Row],[Sales Amount]]-RawSalesTable[[#This Row],[Quantity]]*RawSalesTable[[#This Row],[Unit Price]]</f>
        <v>-2700</v>
      </c>
      <c r="N153" t="s">
        <v>73</v>
      </c>
      <c r="O153" s="9" t="s">
        <v>32</v>
      </c>
    </row>
    <row r="154" spans="1:15" x14ac:dyDescent="0.25">
      <c r="A154" s="5" t="s">
        <v>235</v>
      </c>
      <c r="B154" s="6">
        <v>45909</v>
      </c>
      <c r="C154" t="s">
        <v>70</v>
      </c>
      <c r="D154" t="s">
        <v>41</v>
      </c>
      <c r="E154" t="s">
        <v>42</v>
      </c>
      <c r="F154" t="s">
        <v>43</v>
      </c>
      <c r="G154" t="s">
        <v>54</v>
      </c>
      <c r="H154" t="s">
        <v>63</v>
      </c>
      <c r="I154">
        <v>3</v>
      </c>
      <c r="J154" s="7">
        <v>61000</v>
      </c>
      <c r="K154" s="8">
        <v>0.1</v>
      </c>
      <c r="L154" s="7">
        <v>164700</v>
      </c>
      <c r="M154" s="7">
        <f>RawSalesTable[[#This Row],[Sales Amount]]-RawSalesTable[[#This Row],[Quantity]]*RawSalesTable[[#This Row],[Unit Price]]</f>
        <v>-18300</v>
      </c>
      <c r="N154" t="s">
        <v>23</v>
      </c>
      <c r="O154" s="9" t="s">
        <v>74</v>
      </c>
    </row>
    <row r="155" spans="1:15" x14ac:dyDescent="0.25">
      <c r="A155" s="5" t="s">
        <v>236</v>
      </c>
      <c r="B155" s="6">
        <v>45882</v>
      </c>
      <c r="C155" t="s">
        <v>70</v>
      </c>
      <c r="D155" t="s">
        <v>102</v>
      </c>
      <c r="E155" t="s">
        <v>36</v>
      </c>
      <c r="F155" t="s">
        <v>29</v>
      </c>
      <c r="G155" t="s">
        <v>54</v>
      </c>
      <c r="H155" t="s">
        <v>68</v>
      </c>
      <c r="I155">
        <v>1</v>
      </c>
      <c r="J155" s="7">
        <v>52000</v>
      </c>
      <c r="K155" s="8">
        <v>0.05</v>
      </c>
      <c r="L155" s="7">
        <v>49400</v>
      </c>
      <c r="M155" s="7">
        <f>RawSalesTable[[#This Row],[Sales Amount]]-RawSalesTable[[#This Row],[Quantity]]*RawSalesTable[[#This Row],[Unit Price]]</f>
        <v>-2600</v>
      </c>
      <c r="N155" t="s">
        <v>23</v>
      </c>
      <c r="O155" s="9" t="s">
        <v>32</v>
      </c>
    </row>
    <row r="156" spans="1:15" x14ac:dyDescent="0.25">
      <c r="A156" s="5" t="s">
        <v>237</v>
      </c>
      <c r="B156" s="6">
        <v>45797</v>
      </c>
      <c r="C156" t="s">
        <v>26</v>
      </c>
      <c r="D156" t="s">
        <v>81</v>
      </c>
      <c r="E156" t="s">
        <v>72</v>
      </c>
      <c r="F156" t="s">
        <v>43</v>
      </c>
      <c r="G156" t="s">
        <v>48</v>
      </c>
      <c r="H156" t="s">
        <v>105</v>
      </c>
      <c r="I156">
        <v>4</v>
      </c>
      <c r="J156" s="7">
        <v>21000</v>
      </c>
      <c r="K156" s="8">
        <v>0.1</v>
      </c>
      <c r="L156" s="7">
        <v>75600</v>
      </c>
      <c r="M156" s="7">
        <f>RawSalesTable[[#This Row],[Sales Amount]]-RawSalesTable[[#This Row],[Quantity]]*RawSalesTable[[#This Row],[Unit Price]]</f>
        <v>-8400</v>
      </c>
      <c r="N156" t="s">
        <v>58</v>
      </c>
      <c r="O156" s="9" t="s">
        <v>39</v>
      </c>
    </row>
    <row r="157" spans="1:15" x14ac:dyDescent="0.25">
      <c r="A157" s="5" t="s">
        <v>238</v>
      </c>
      <c r="B157" s="6">
        <v>45911</v>
      </c>
      <c r="C157" t="s">
        <v>26</v>
      </c>
      <c r="D157" t="s">
        <v>89</v>
      </c>
      <c r="E157" t="s">
        <v>87</v>
      </c>
      <c r="F157" t="s">
        <v>20</v>
      </c>
      <c r="G157" t="s">
        <v>21</v>
      </c>
      <c r="H157" t="s">
        <v>22</v>
      </c>
      <c r="I157">
        <v>2</v>
      </c>
      <c r="J157" s="7">
        <v>1500</v>
      </c>
      <c r="K157" s="8">
        <v>0.15</v>
      </c>
      <c r="L157" s="7">
        <v>2550</v>
      </c>
      <c r="M157" s="7">
        <f>RawSalesTable[[#This Row],[Sales Amount]]-RawSalesTable[[#This Row],[Quantity]]*RawSalesTable[[#This Row],[Unit Price]]</f>
        <v>-450</v>
      </c>
      <c r="N157" t="s">
        <v>58</v>
      </c>
      <c r="O157" s="9" t="s">
        <v>51</v>
      </c>
    </row>
    <row r="158" spans="1:15" x14ac:dyDescent="0.25">
      <c r="A158" s="5" t="s">
        <v>239</v>
      </c>
      <c r="B158" s="6">
        <v>45834</v>
      </c>
      <c r="C158" t="s">
        <v>94</v>
      </c>
      <c r="D158" t="s">
        <v>102</v>
      </c>
      <c r="E158" t="s">
        <v>36</v>
      </c>
      <c r="F158" t="s">
        <v>29</v>
      </c>
      <c r="G158" t="s">
        <v>48</v>
      </c>
      <c r="H158" t="s">
        <v>49</v>
      </c>
      <c r="I158">
        <v>2</v>
      </c>
      <c r="J158" s="7">
        <v>13500</v>
      </c>
      <c r="K158" s="8">
        <v>0.15</v>
      </c>
      <c r="L158" s="7">
        <v>22950</v>
      </c>
      <c r="M158" s="7">
        <f>RawSalesTable[[#This Row],[Sales Amount]]-RawSalesTable[[#This Row],[Quantity]]*RawSalesTable[[#This Row],[Unit Price]]</f>
        <v>-4050</v>
      </c>
      <c r="N158" t="s">
        <v>23</v>
      </c>
      <c r="O158" s="9" t="s">
        <v>32</v>
      </c>
    </row>
    <row r="159" spans="1:15" x14ac:dyDescent="0.25">
      <c r="A159" s="5" t="s">
        <v>240</v>
      </c>
      <c r="B159" s="6">
        <v>45738</v>
      </c>
      <c r="C159" t="s">
        <v>53</v>
      </c>
      <c r="D159" t="s">
        <v>47</v>
      </c>
      <c r="E159" t="s">
        <v>19</v>
      </c>
      <c r="F159" t="s">
        <v>20</v>
      </c>
      <c r="G159" t="s">
        <v>30</v>
      </c>
      <c r="H159" t="s">
        <v>37</v>
      </c>
      <c r="I159">
        <v>2</v>
      </c>
      <c r="J159" s="7">
        <v>2800</v>
      </c>
      <c r="K159" s="8">
        <v>0.1</v>
      </c>
      <c r="L159" s="7">
        <v>5040</v>
      </c>
      <c r="M159" s="7">
        <f>RawSalesTable[[#This Row],[Sales Amount]]-RawSalesTable[[#This Row],[Quantity]]*RawSalesTable[[#This Row],[Unit Price]]</f>
        <v>-560</v>
      </c>
      <c r="N159" t="s">
        <v>50</v>
      </c>
      <c r="O159" s="9" t="s">
        <v>97</v>
      </c>
    </row>
    <row r="160" spans="1:15" x14ac:dyDescent="0.25">
      <c r="A160" s="5" t="s">
        <v>241</v>
      </c>
      <c r="B160" s="6">
        <v>45940</v>
      </c>
      <c r="C160" t="s">
        <v>53</v>
      </c>
      <c r="D160" t="s">
        <v>81</v>
      </c>
      <c r="E160" t="s">
        <v>72</v>
      </c>
      <c r="F160" t="s">
        <v>43</v>
      </c>
      <c r="G160" t="s">
        <v>30</v>
      </c>
      <c r="H160" t="s">
        <v>31</v>
      </c>
      <c r="I160">
        <v>3</v>
      </c>
      <c r="J160" s="7">
        <v>3200</v>
      </c>
      <c r="K160" s="8">
        <v>0.1</v>
      </c>
      <c r="L160" s="7">
        <v>8640</v>
      </c>
      <c r="M160" s="7">
        <f>RawSalesTable[[#This Row],[Sales Amount]]-RawSalesTable[[#This Row],[Quantity]]*RawSalesTable[[#This Row],[Unit Price]]</f>
        <v>-960</v>
      </c>
      <c r="N160" t="s">
        <v>38</v>
      </c>
      <c r="O160" s="9" t="s">
        <v>39</v>
      </c>
    </row>
    <row r="161" spans="1:15" x14ac:dyDescent="0.25">
      <c r="A161" s="5" t="s">
        <v>242</v>
      </c>
      <c r="B161" s="6">
        <v>45658</v>
      </c>
      <c r="C161" t="s">
        <v>17</v>
      </c>
      <c r="D161" t="s">
        <v>18</v>
      </c>
      <c r="E161" t="s">
        <v>19</v>
      </c>
      <c r="F161" t="s">
        <v>20</v>
      </c>
      <c r="G161" t="s">
        <v>54</v>
      </c>
      <c r="H161" t="s">
        <v>63</v>
      </c>
      <c r="I161">
        <v>2</v>
      </c>
      <c r="J161" s="7">
        <v>61000</v>
      </c>
      <c r="K161" s="8">
        <v>0</v>
      </c>
      <c r="L161" s="7">
        <v>122000</v>
      </c>
      <c r="M161" s="7">
        <f>RawSalesTable[[#This Row],[Sales Amount]]-RawSalesTable[[#This Row],[Quantity]]*RawSalesTable[[#This Row],[Unit Price]]</f>
        <v>0</v>
      </c>
      <c r="N161" t="s">
        <v>23</v>
      </c>
      <c r="O161" s="9" t="s">
        <v>97</v>
      </c>
    </row>
    <row r="162" spans="1:15" x14ac:dyDescent="0.25">
      <c r="A162" s="5" t="s">
        <v>243</v>
      </c>
      <c r="B162" s="6">
        <v>45977</v>
      </c>
      <c r="C162" t="s">
        <v>26</v>
      </c>
      <c r="D162" t="s">
        <v>110</v>
      </c>
      <c r="E162" t="s">
        <v>72</v>
      </c>
      <c r="F162" t="s">
        <v>43</v>
      </c>
      <c r="G162" t="s">
        <v>77</v>
      </c>
      <c r="H162" t="s">
        <v>111</v>
      </c>
      <c r="I162">
        <v>4</v>
      </c>
      <c r="J162" s="7">
        <v>29000</v>
      </c>
      <c r="K162" s="8">
        <v>0.1</v>
      </c>
      <c r="L162" s="7">
        <v>104400</v>
      </c>
      <c r="M162" s="7">
        <f>RawSalesTable[[#This Row],[Sales Amount]]-RawSalesTable[[#This Row],[Quantity]]*RawSalesTable[[#This Row],[Unit Price]]</f>
        <v>-11600</v>
      </c>
      <c r="N162" t="s">
        <v>38</v>
      </c>
      <c r="O162" s="9" t="s">
        <v>97</v>
      </c>
    </row>
    <row r="163" spans="1:15" x14ac:dyDescent="0.25">
      <c r="A163" s="5" t="s">
        <v>244</v>
      </c>
      <c r="B163" s="6">
        <v>45963</v>
      </c>
      <c r="C163" t="s">
        <v>34</v>
      </c>
      <c r="D163" t="s">
        <v>92</v>
      </c>
      <c r="E163" t="s">
        <v>42</v>
      </c>
      <c r="F163" t="s">
        <v>43</v>
      </c>
      <c r="G163" t="s">
        <v>30</v>
      </c>
      <c r="H163" t="s">
        <v>57</v>
      </c>
      <c r="I163">
        <v>3</v>
      </c>
      <c r="J163" s="7">
        <v>4500</v>
      </c>
      <c r="K163" s="8">
        <v>0</v>
      </c>
      <c r="L163" s="7">
        <v>13500</v>
      </c>
      <c r="M163" s="7">
        <f>RawSalesTable[[#This Row],[Sales Amount]]-RawSalesTable[[#This Row],[Quantity]]*RawSalesTable[[#This Row],[Unit Price]]</f>
        <v>0</v>
      </c>
      <c r="N163" t="s">
        <v>50</v>
      </c>
      <c r="O163" s="9" t="s">
        <v>79</v>
      </c>
    </row>
    <row r="164" spans="1:15" x14ac:dyDescent="0.25">
      <c r="A164" s="5" t="s">
        <v>245</v>
      </c>
      <c r="B164" s="6">
        <v>45889</v>
      </c>
      <c r="C164" t="s">
        <v>84</v>
      </c>
      <c r="D164" t="s">
        <v>47</v>
      </c>
      <c r="E164" t="s">
        <v>19</v>
      </c>
      <c r="F164" t="s">
        <v>20</v>
      </c>
      <c r="G164" t="s">
        <v>48</v>
      </c>
      <c r="H164" t="s">
        <v>90</v>
      </c>
      <c r="I164">
        <v>2</v>
      </c>
      <c r="J164" s="7">
        <v>14500</v>
      </c>
      <c r="K164" s="8">
        <v>0</v>
      </c>
      <c r="L164" s="7">
        <v>29000</v>
      </c>
      <c r="M164" s="7">
        <f>RawSalesTable[[#This Row],[Sales Amount]]-RawSalesTable[[#This Row],[Quantity]]*RawSalesTable[[#This Row],[Unit Price]]</f>
        <v>0</v>
      </c>
      <c r="N164" t="s">
        <v>50</v>
      </c>
      <c r="O164" s="9" t="s">
        <v>39</v>
      </c>
    </row>
    <row r="165" spans="1:15" x14ac:dyDescent="0.25">
      <c r="A165" s="5" t="s">
        <v>246</v>
      </c>
      <c r="B165" s="6">
        <v>45708</v>
      </c>
      <c r="C165" t="s">
        <v>26</v>
      </c>
      <c r="D165" t="s">
        <v>35</v>
      </c>
      <c r="E165" t="s">
        <v>36</v>
      </c>
      <c r="F165" t="s">
        <v>29</v>
      </c>
      <c r="G165" t="s">
        <v>77</v>
      </c>
      <c r="H165" t="s">
        <v>78</v>
      </c>
      <c r="I165">
        <v>2</v>
      </c>
      <c r="J165" s="7">
        <v>21000</v>
      </c>
      <c r="K165" s="8">
        <v>0.1</v>
      </c>
      <c r="L165" s="7">
        <v>37800</v>
      </c>
      <c r="M165" s="7">
        <f>RawSalesTable[[#This Row],[Sales Amount]]-RawSalesTable[[#This Row],[Quantity]]*RawSalesTable[[#This Row],[Unit Price]]</f>
        <v>-4200</v>
      </c>
      <c r="N165" t="s">
        <v>58</v>
      </c>
      <c r="O165" s="9" t="s">
        <v>24</v>
      </c>
    </row>
    <row r="166" spans="1:15" x14ac:dyDescent="0.25">
      <c r="A166" s="5" t="s">
        <v>247</v>
      </c>
      <c r="B166" s="6">
        <v>45847</v>
      </c>
      <c r="C166" t="s">
        <v>84</v>
      </c>
      <c r="D166" t="s">
        <v>35</v>
      </c>
      <c r="E166" t="s">
        <v>36</v>
      </c>
      <c r="F166" t="s">
        <v>29</v>
      </c>
      <c r="G166" t="s">
        <v>48</v>
      </c>
      <c r="H166" t="s">
        <v>90</v>
      </c>
      <c r="I166">
        <v>1</v>
      </c>
      <c r="J166" s="7">
        <v>14500</v>
      </c>
      <c r="K166" s="8">
        <v>0.15</v>
      </c>
      <c r="L166" s="7">
        <v>12325</v>
      </c>
      <c r="M166" s="7">
        <f>RawSalesTable[[#This Row],[Sales Amount]]-RawSalesTable[[#This Row],[Quantity]]*RawSalesTable[[#This Row],[Unit Price]]</f>
        <v>-2175</v>
      </c>
      <c r="N166" t="s">
        <v>73</v>
      </c>
      <c r="O166" s="9" t="s">
        <v>97</v>
      </c>
    </row>
    <row r="167" spans="1:15" x14ac:dyDescent="0.25">
      <c r="A167" s="5" t="s">
        <v>248</v>
      </c>
      <c r="B167" s="6">
        <v>45670</v>
      </c>
      <c r="C167" t="s">
        <v>94</v>
      </c>
      <c r="D167" t="s">
        <v>71</v>
      </c>
      <c r="E167" t="s">
        <v>72</v>
      </c>
      <c r="F167" t="s">
        <v>43</v>
      </c>
      <c r="G167" t="s">
        <v>30</v>
      </c>
      <c r="H167" t="s">
        <v>37</v>
      </c>
      <c r="I167">
        <v>3</v>
      </c>
      <c r="J167" s="7">
        <v>2800</v>
      </c>
      <c r="K167" s="8">
        <v>0</v>
      </c>
      <c r="L167" s="7">
        <v>8400</v>
      </c>
      <c r="M167" s="7">
        <f>RawSalesTable[[#This Row],[Sales Amount]]-RawSalesTable[[#This Row],[Quantity]]*RawSalesTable[[#This Row],[Unit Price]]</f>
        <v>0</v>
      </c>
      <c r="N167" t="s">
        <v>58</v>
      </c>
      <c r="O167" s="9" t="s">
        <v>39</v>
      </c>
    </row>
    <row r="168" spans="1:15" x14ac:dyDescent="0.25">
      <c r="A168" s="5" t="s">
        <v>249</v>
      </c>
      <c r="B168" s="6">
        <v>45833</v>
      </c>
      <c r="C168" t="s">
        <v>53</v>
      </c>
      <c r="D168" t="s">
        <v>110</v>
      </c>
      <c r="E168" t="s">
        <v>72</v>
      </c>
      <c r="F168" t="s">
        <v>43</v>
      </c>
      <c r="G168" t="s">
        <v>30</v>
      </c>
      <c r="H168" t="s">
        <v>31</v>
      </c>
      <c r="I168">
        <v>1</v>
      </c>
      <c r="J168" s="7">
        <v>3200</v>
      </c>
      <c r="K168" s="8">
        <v>0.1</v>
      </c>
      <c r="L168" s="7">
        <v>2880</v>
      </c>
      <c r="M168" s="7">
        <f>RawSalesTable[[#This Row],[Sales Amount]]-RawSalesTable[[#This Row],[Quantity]]*RawSalesTable[[#This Row],[Unit Price]]</f>
        <v>-320</v>
      </c>
      <c r="N168" t="s">
        <v>38</v>
      </c>
      <c r="O168" s="9" t="s">
        <v>32</v>
      </c>
    </row>
    <row r="169" spans="1:15" x14ac:dyDescent="0.25">
      <c r="A169" s="5" t="s">
        <v>250</v>
      </c>
      <c r="B169" s="6">
        <v>45698</v>
      </c>
      <c r="C169" t="s">
        <v>118</v>
      </c>
      <c r="D169" t="s">
        <v>89</v>
      </c>
      <c r="E169" t="s">
        <v>87</v>
      </c>
      <c r="F169" t="s">
        <v>20</v>
      </c>
      <c r="G169" t="s">
        <v>77</v>
      </c>
      <c r="H169" t="s">
        <v>111</v>
      </c>
      <c r="I169">
        <v>1</v>
      </c>
      <c r="J169" s="7">
        <v>29000</v>
      </c>
      <c r="K169" s="8">
        <v>0.05</v>
      </c>
      <c r="L169" s="7">
        <v>27550</v>
      </c>
      <c r="M169" s="7">
        <f>RawSalesTable[[#This Row],[Sales Amount]]-RawSalesTable[[#This Row],[Quantity]]*RawSalesTable[[#This Row],[Unit Price]]</f>
        <v>-1450</v>
      </c>
      <c r="N169" t="s">
        <v>50</v>
      </c>
      <c r="O169" s="9" t="s">
        <v>32</v>
      </c>
    </row>
    <row r="170" spans="1:15" x14ac:dyDescent="0.25">
      <c r="A170" s="5" t="s">
        <v>251</v>
      </c>
      <c r="B170" s="6">
        <v>45775</v>
      </c>
      <c r="C170" t="s">
        <v>34</v>
      </c>
      <c r="D170" t="s">
        <v>95</v>
      </c>
      <c r="E170" t="s">
        <v>87</v>
      </c>
      <c r="F170" t="s">
        <v>20</v>
      </c>
      <c r="G170" t="s">
        <v>21</v>
      </c>
      <c r="H170" t="s">
        <v>22</v>
      </c>
      <c r="I170">
        <v>3</v>
      </c>
      <c r="J170" s="7">
        <v>1500</v>
      </c>
      <c r="K170" s="8">
        <v>0.05</v>
      </c>
      <c r="L170" s="7">
        <v>4275</v>
      </c>
      <c r="M170" s="7">
        <f>RawSalesTable[[#This Row],[Sales Amount]]-RawSalesTable[[#This Row],[Quantity]]*RawSalesTable[[#This Row],[Unit Price]]</f>
        <v>-225</v>
      </c>
      <c r="N170" t="s">
        <v>23</v>
      </c>
      <c r="O170" s="9" t="s">
        <v>51</v>
      </c>
    </row>
    <row r="171" spans="1:15" x14ac:dyDescent="0.25">
      <c r="A171" s="5" t="s">
        <v>252</v>
      </c>
      <c r="B171" s="6">
        <v>45684</v>
      </c>
      <c r="C171" t="s">
        <v>17</v>
      </c>
      <c r="D171" t="s">
        <v>92</v>
      </c>
      <c r="E171" t="s">
        <v>42</v>
      </c>
      <c r="F171" t="s">
        <v>43</v>
      </c>
      <c r="G171" t="s">
        <v>21</v>
      </c>
      <c r="H171" t="s">
        <v>44</v>
      </c>
      <c r="I171">
        <v>1</v>
      </c>
      <c r="J171" s="7">
        <v>1200</v>
      </c>
      <c r="K171" s="8">
        <v>0.05</v>
      </c>
      <c r="L171" s="7">
        <v>1140</v>
      </c>
      <c r="M171" s="7">
        <f>RawSalesTable[[#This Row],[Sales Amount]]-RawSalesTable[[#This Row],[Quantity]]*RawSalesTable[[#This Row],[Unit Price]]</f>
        <v>-60</v>
      </c>
      <c r="N171" t="s">
        <v>58</v>
      </c>
      <c r="O171" s="9" t="s">
        <v>79</v>
      </c>
    </row>
    <row r="172" spans="1:15" x14ac:dyDescent="0.25">
      <c r="A172" s="5" t="s">
        <v>253</v>
      </c>
      <c r="B172" s="6">
        <v>45840</v>
      </c>
      <c r="C172" t="s">
        <v>94</v>
      </c>
      <c r="D172" t="s">
        <v>81</v>
      </c>
      <c r="E172" t="s">
        <v>72</v>
      </c>
      <c r="F172" t="s">
        <v>43</v>
      </c>
      <c r="G172" t="s">
        <v>21</v>
      </c>
      <c r="H172" t="s">
        <v>82</v>
      </c>
      <c r="I172">
        <v>1</v>
      </c>
      <c r="J172" s="7">
        <v>900</v>
      </c>
      <c r="K172" s="8">
        <v>0.15</v>
      </c>
      <c r="L172" s="7">
        <v>765</v>
      </c>
      <c r="M172" s="7">
        <f>RawSalesTable[[#This Row],[Sales Amount]]-RawSalesTable[[#This Row],[Quantity]]*RawSalesTable[[#This Row],[Unit Price]]</f>
        <v>-135</v>
      </c>
      <c r="N172" t="s">
        <v>58</v>
      </c>
      <c r="O172" s="9" t="s">
        <v>97</v>
      </c>
    </row>
    <row r="173" spans="1:15" x14ac:dyDescent="0.25">
      <c r="A173" s="5" t="s">
        <v>254</v>
      </c>
      <c r="B173" s="6">
        <v>45795</v>
      </c>
      <c r="C173" t="s">
        <v>53</v>
      </c>
      <c r="D173" t="s">
        <v>76</v>
      </c>
      <c r="E173" t="s">
        <v>42</v>
      </c>
      <c r="F173" t="s">
        <v>43</v>
      </c>
      <c r="G173" t="s">
        <v>54</v>
      </c>
      <c r="H173" t="s">
        <v>63</v>
      </c>
      <c r="I173">
        <v>3</v>
      </c>
      <c r="J173" s="7">
        <v>61000</v>
      </c>
      <c r="K173" s="8">
        <v>0</v>
      </c>
      <c r="L173" s="7">
        <v>183000</v>
      </c>
      <c r="M173" s="7">
        <f>RawSalesTable[[#This Row],[Sales Amount]]-RawSalesTable[[#This Row],[Quantity]]*RawSalesTable[[#This Row],[Unit Price]]</f>
        <v>0</v>
      </c>
      <c r="N173" t="s">
        <v>50</v>
      </c>
      <c r="O173" s="9" t="s">
        <v>51</v>
      </c>
    </row>
    <row r="174" spans="1:15" x14ac:dyDescent="0.25">
      <c r="A174" s="5" t="s">
        <v>255</v>
      </c>
      <c r="B174" s="6">
        <v>46006</v>
      </c>
      <c r="C174" t="s">
        <v>61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>
        <v>1</v>
      </c>
      <c r="J174" s="7">
        <v>1500</v>
      </c>
      <c r="K174" s="8">
        <v>0.1</v>
      </c>
      <c r="L174" s="7">
        <v>1350</v>
      </c>
      <c r="M174" s="7">
        <f>RawSalesTable[[#This Row],[Sales Amount]]-RawSalesTable[[#This Row],[Quantity]]*RawSalesTable[[#This Row],[Unit Price]]</f>
        <v>-150</v>
      </c>
      <c r="N174" t="s">
        <v>50</v>
      </c>
      <c r="O174" s="9" t="s">
        <v>59</v>
      </c>
    </row>
    <row r="175" spans="1:15" x14ac:dyDescent="0.25">
      <c r="A175" s="5" t="s">
        <v>256</v>
      </c>
      <c r="B175" s="6">
        <v>45755</v>
      </c>
      <c r="C175" t="s">
        <v>34</v>
      </c>
      <c r="D175" t="s">
        <v>47</v>
      </c>
      <c r="E175" t="s">
        <v>19</v>
      </c>
      <c r="F175" t="s">
        <v>20</v>
      </c>
      <c r="G175" t="s">
        <v>30</v>
      </c>
      <c r="H175" t="s">
        <v>31</v>
      </c>
      <c r="I175">
        <v>4</v>
      </c>
      <c r="J175" s="7">
        <v>3200</v>
      </c>
      <c r="K175" s="8">
        <v>0</v>
      </c>
      <c r="L175" s="7">
        <v>12800</v>
      </c>
      <c r="M175" s="7">
        <f>RawSalesTable[[#This Row],[Sales Amount]]-RawSalesTable[[#This Row],[Quantity]]*RawSalesTable[[#This Row],[Unit Price]]</f>
        <v>0</v>
      </c>
      <c r="N175" t="s">
        <v>50</v>
      </c>
      <c r="O175" s="9" t="s">
        <v>59</v>
      </c>
    </row>
    <row r="176" spans="1:15" x14ac:dyDescent="0.25">
      <c r="A176" s="5" t="s">
        <v>257</v>
      </c>
      <c r="B176" s="6">
        <v>45697</v>
      </c>
      <c r="C176" t="s">
        <v>53</v>
      </c>
      <c r="D176" t="s">
        <v>138</v>
      </c>
      <c r="E176" t="s">
        <v>28</v>
      </c>
      <c r="F176" t="s">
        <v>29</v>
      </c>
      <c r="G176" t="s">
        <v>21</v>
      </c>
      <c r="H176" t="s">
        <v>82</v>
      </c>
      <c r="I176">
        <v>3</v>
      </c>
      <c r="J176" s="7">
        <v>900</v>
      </c>
      <c r="K176" s="8">
        <v>0</v>
      </c>
      <c r="L176" s="7">
        <v>2700</v>
      </c>
      <c r="M176" s="7">
        <f>RawSalesTable[[#This Row],[Sales Amount]]-RawSalesTable[[#This Row],[Quantity]]*RawSalesTable[[#This Row],[Unit Price]]</f>
        <v>0</v>
      </c>
      <c r="N176" t="s">
        <v>58</v>
      </c>
      <c r="O176" s="9" t="s">
        <v>74</v>
      </c>
    </row>
    <row r="177" spans="1:15" x14ac:dyDescent="0.25">
      <c r="A177" s="5" t="s">
        <v>258</v>
      </c>
      <c r="B177" s="6">
        <v>45968</v>
      </c>
      <c r="C177" t="s">
        <v>17</v>
      </c>
      <c r="D177" t="s">
        <v>104</v>
      </c>
      <c r="E177" t="s">
        <v>19</v>
      </c>
      <c r="F177" t="s">
        <v>20</v>
      </c>
      <c r="G177" t="s">
        <v>21</v>
      </c>
      <c r="H177" t="s">
        <v>22</v>
      </c>
      <c r="I177">
        <v>2</v>
      </c>
      <c r="J177" s="7">
        <v>1500</v>
      </c>
      <c r="K177" s="8">
        <v>0.15</v>
      </c>
      <c r="L177" s="7">
        <v>2550</v>
      </c>
      <c r="M177" s="7">
        <f>RawSalesTable[[#This Row],[Sales Amount]]-RawSalesTable[[#This Row],[Quantity]]*RawSalesTable[[#This Row],[Unit Price]]</f>
        <v>-450</v>
      </c>
      <c r="N177" t="s">
        <v>23</v>
      </c>
      <c r="O177" s="9" t="s">
        <v>59</v>
      </c>
    </row>
    <row r="178" spans="1:15" x14ac:dyDescent="0.25">
      <c r="A178" s="5" t="s">
        <v>259</v>
      </c>
      <c r="B178" s="6">
        <v>45807</v>
      </c>
      <c r="C178" t="s">
        <v>34</v>
      </c>
      <c r="D178" t="s">
        <v>104</v>
      </c>
      <c r="E178" t="s">
        <v>19</v>
      </c>
      <c r="F178" t="s">
        <v>20</v>
      </c>
      <c r="G178" t="s">
        <v>54</v>
      </c>
      <c r="H178" t="s">
        <v>68</v>
      </c>
      <c r="I178">
        <v>3</v>
      </c>
      <c r="J178" s="7">
        <v>52000</v>
      </c>
      <c r="K178" s="8">
        <v>0</v>
      </c>
      <c r="L178" s="7">
        <v>156000</v>
      </c>
      <c r="M178" s="7">
        <f>RawSalesTable[[#This Row],[Sales Amount]]-RawSalesTable[[#This Row],[Quantity]]*RawSalesTable[[#This Row],[Unit Price]]</f>
        <v>0</v>
      </c>
      <c r="N178" t="s">
        <v>50</v>
      </c>
      <c r="O178" s="9" t="s">
        <v>32</v>
      </c>
    </row>
    <row r="179" spans="1:15" x14ac:dyDescent="0.25">
      <c r="A179" s="5" t="s">
        <v>260</v>
      </c>
      <c r="B179" s="6">
        <v>45845</v>
      </c>
      <c r="C179" t="s">
        <v>53</v>
      </c>
      <c r="D179" t="s">
        <v>67</v>
      </c>
      <c r="E179" t="s">
        <v>36</v>
      </c>
      <c r="F179" t="s">
        <v>29</v>
      </c>
      <c r="G179" t="s">
        <v>48</v>
      </c>
      <c r="H179" t="s">
        <v>90</v>
      </c>
      <c r="I179">
        <v>3</v>
      </c>
      <c r="J179" s="7">
        <v>14500</v>
      </c>
      <c r="K179" s="8">
        <v>0.15</v>
      </c>
      <c r="L179" s="7">
        <v>36975</v>
      </c>
      <c r="M179" s="7">
        <f>RawSalesTable[[#This Row],[Sales Amount]]-RawSalesTable[[#This Row],[Quantity]]*RawSalesTable[[#This Row],[Unit Price]]</f>
        <v>-6525</v>
      </c>
      <c r="N179" t="s">
        <v>38</v>
      </c>
      <c r="O179" s="9" t="s">
        <v>32</v>
      </c>
    </row>
    <row r="180" spans="1:15" x14ac:dyDescent="0.25">
      <c r="A180" s="5" t="s">
        <v>261</v>
      </c>
      <c r="B180" s="6">
        <v>45924</v>
      </c>
      <c r="C180" t="s">
        <v>61</v>
      </c>
      <c r="D180" t="s">
        <v>89</v>
      </c>
      <c r="E180" t="s">
        <v>87</v>
      </c>
      <c r="F180" t="s">
        <v>20</v>
      </c>
      <c r="G180" t="s">
        <v>77</v>
      </c>
      <c r="H180" t="s">
        <v>78</v>
      </c>
      <c r="I180">
        <v>2</v>
      </c>
      <c r="J180" s="7">
        <v>21000</v>
      </c>
      <c r="K180" s="8">
        <v>0.05</v>
      </c>
      <c r="L180" s="7">
        <v>39900</v>
      </c>
      <c r="M180" s="7">
        <f>RawSalesTable[[#This Row],[Sales Amount]]-RawSalesTable[[#This Row],[Quantity]]*RawSalesTable[[#This Row],[Unit Price]]</f>
        <v>-2100</v>
      </c>
      <c r="N180" t="s">
        <v>23</v>
      </c>
      <c r="O180" s="9" t="s">
        <v>51</v>
      </c>
    </row>
    <row r="181" spans="1:15" x14ac:dyDescent="0.25">
      <c r="A181" s="5" t="s">
        <v>262</v>
      </c>
      <c r="B181" s="6">
        <v>46009</v>
      </c>
      <c r="C181" t="s">
        <v>34</v>
      </c>
      <c r="D181" t="s">
        <v>102</v>
      </c>
      <c r="E181" t="s">
        <v>36</v>
      </c>
      <c r="F181" t="s">
        <v>29</v>
      </c>
      <c r="G181" t="s">
        <v>54</v>
      </c>
      <c r="H181" t="s">
        <v>55</v>
      </c>
      <c r="I181">
        <v>3</v>
      </c>
      <c r="J181" s="7">
        <v>58000</v>
      </c>
      <c r="K181" s="8">
        <v>0.1</v>
      </c>
      <c r="L181" s="7">
        <v>156600</v>
      </c>
      <c r="M181" s="7">
        <f>RawSalesTable[[#This Row],[Sales Amount]]-RawSalesTable[[#This Row],[Quantity]]*RawSalesTable[[#This Row],[Unit Price]]</f>
        <v>-17400</v>
      </c>
      <c r="N181" t="s">
        <v>38</v>
      </c>
      <c r="O181" s="9" t="s">
        <v>39</v>
      </c>
    </row>
    <row r="182" spans="1:15" x14ac:dyDescent="0.25">
      <c r="A182" s="5" t="s">
        <v>263</v>
      </c>
      <c r="B182" s="6">
        <v>45895</v>
      </c>
      <c r="C182" t="s">
        <v>61</v>
      </c>
      <c r="D182" t="s">
        <v>41</v>
      </c>
      <c r="E182" t="s">
        <v>42</v>
      </c>
      <c r="F182" t="s">
        <v>43</v>
      </c>
      <c r="G182" t="s">
        <v>54</v>
      </c>
      <c r="H182" t="s">
        <v>55</v>
      </c>
      <c r="I182">
        <v>2</v>
      </c>
      <c r="J182" s="7">
        <v>58000</v>
      </c>
      <c r="K182" s="8">
        <v>0</v>
      </c>
      <c r="L182" s="7">
        <v>116000</v>
      </c>
      <c r="M182" s="7">
        <f>RawSalesTable[[#This Row],[Sales Amount]]-RawSalesTable[[#This Row],[Quantity]]*RawSalesTable[[#This Row],[Unit Price]]</f>
        <v>0</v>
      </c>
      <c r="N182" t="s">
        <v>58</v>
      </c>
      <c r="O182" s="9" t="s">
        <v>32</v>
      </c>
    </row>
    <row r="183" spans="1:15" x14ac:dyDescent="0.25">
      <c r="A183" s="5" t="s">
        <v>264</v>
      </c>
      <c r="B183" s="6">
        <v>45908</v>
      </c>
      <c r="C183" t="s">
        <v>53</v>
      </c>
      <c r="D183" t="s">
        <v>76</v>
      </c>
      <c r="E183" t="s">
        <v>42</v>
      </c>
      <c r="F183" t="s">
        <v>43</v>
      </c>
      <c r="G183" t="s">
        <v>48</v>
      </c>
      <c r="H183" t="s">
        <v>49</v>
      </c>
      <c r="I183">
        <v>2</v>
      </c>
      <c r="J183" s="7">
        <v>13500</v>
      </c>
      <c r="K183" s="8">
        <v>0</v>
      </c>
      <c r="L183" s="7">
        <v>27000</v>
      </c>
      <c r="M183" s="7">
        <f>RawSalesTable[[#This Row],[Sales Amount]]-RawSalesTable[[#This Row],[Quantity]]*RawSalesTable[[#This Row],[Unit Price]]</f>
        <v>0</v>
      </c>
      <c r="N183" t="s">
        <v>38</v>
      </c>
      <c r="O183" s="9" t="s">
        <v>59</v>
      </c>
    </row>
    <row r="184" spans="1:15" x14ac:dyDescent="0.25">
      <c r="A184" s="5" t="s">
        <v>265</v>
      </c>
      <c r="B184" s="6">
        <v>45695</v>
      </c>
      <c r="C184" t="s">
        <v>17</v>
      </c>
      <c r="D184" t="s">
        <v>95</v>
      </c>
      <c r="E184" t="s">
        <v>87</v>
      </c>
      <c r="F184" t="s">
        <v>20</v>
      </c>
      <c r="G184" t="s">
        <v>30</v>
      </c>
      <c r="H184" t="s">
        <v>37</v>
      </c>
      <c r="I184">
        <v>4</v>
      </c>
      <c r="J184" s="7">
        <v>2800</v>
      </c>
      <c r="K184" s="8">
        <v>0.1</v>
      </c>
      <c r="L184" s="7">
        <v>10080</v>
      </c>
      <c r="M184" s="7">
        <f>RawSalesTable[[#This Row],[Sales Amount]]-RawSalesTable[[#This Row],[Quantity]]*RawSalesTable[[#This Row],[Unit Price]]</f>
        <v>-1120</v>
      </c>
      <c r="N184" t="s">
        <v>23</v>
      </c>
      <c r="O184" s="9" t="s">
        <v>59</v>
      </c>
    </row>
    <row r="185" spans="1:15" x14ac:dyDescent="0.25">
      <c r="A185" s="5" t="s">
        <v>266</v>
      </c>
      <c r="B185" s="6">
        <v>45992</v>
      </c>
      <c r="C185" t="s">
        <v>84</v>
      </c>
      <c r="D185" t="s">
        <v>138</v>
      </c>
      <c r="E185" t="s">
        <v>28</v>
      </c>
      <c r="F185" t="s">
        <v>29</v>
      </c>
      <c r="G185" t="s">
        <v>48</v>
      </c>
      <c r="H185" t="s">
        <v>49</v>
      </c>
      <c r="I185">
        <v>2</v>
      </c>
      <c r="J185" s="7">
        <v>13500</v>
      </c>
      <c r="K185" s="8">
        <v>0.15</v>
      </c>
      <c r="L185" s="7">
        <v>22950</v>
      </c>
      <c r="M185" s="7">
        <f>RawSalesTable[[#This Row],[Sales Amount]]-RawSalesTable[[#This Row],[Quantity]]*RawSalesTable[[#This Row],[Unit Price]]</f>
        <v>-4050</v>
      </c>
      <c r="N185" t="s">
        <v>50</v>
      </c>
      <c r="O185" s="9" t="s">
        <v>97</v>
      </c>
    </row>
    <row r="186" spans="1:15" x14ac:dyDescent="0.25">
      <c r="A186" s="5" t="s">
        <v>267</v>
      </c>
      <c r="B186" s="6">
        <v>46004</v>
      </c>
      <c r="C186" t="s">
        <v>94</v>
      </c>
      <c r="D186" t="s">
        <v>71</v>
      </c>
      <c r="E186" t="s">
        <v>72</v>
      </c>
      <c r="F186" t="s">
        <v>43</v>
      </c>
      <c r="G186" t="s">
        <v>54</v>
      </c>
      <c r="H186" t="s">
        <v>68</v>
      </c>
      <c r="I186">
        <v>3</v>
      </c>
      <c r="J186" s="7">
        <v>52000</v>
      </c>
      <c r="K186" s="8">
        <v>0.15</v>
      </c>
      <c r="L186" s="7">
        <v>132600</v>
      </c>
      <c r="M186" s="7">
        <f>RawSalesTable[[#This Row],[Sales Amount]]-RawSalesTable[[#This Row],[Quantity]]*RawSalesTable[[#This Row],[Unit Price]]</f>
        <v>-23400</v>
      </c>
      <c r="N186" t="s">
        <v>23</v>
      </c>
      <c r="O186" s="9" t="s">
        <v>79</v>
      </c>
    </row>
    <row r="187" spans="1:15" x14ac:dyDescent="0.25">
      <c r="A187" s="5" t="s">
        <v>268</v>
      </c>
      <c r="B187" s="6">
        <v>45671</v>
      </c>
      <c r="C187" t="s">
        <v>26</v>
      </c>
      <c r="D187" t="s">
        <v>95</v>
      </c>
      <c r="E187" t="s">
        <v>87</v>
      </c>
      <c r="F187" t="s">
        <v>20</v>
      </c>
      <c r="G187" t="s">
        <v>77</v>
      </c>
      <c r="H187" t="s">
        <v>111</v>
      </c>
      <c r="I187">
        <v>4</v>
      </c>
      <c r="J187" s="7">
        <v>29000</v>
      </c>
      <c r="K187" s="8">
        <v>0.1</v>
      </c>
      <c r="L187" s="7">
        <v>104400</v>
      </c>
      <c r="M187" s="7">
        <f>RawSalesTable[[#This Row],[Sales Amount]]-RawSalesTable[[#This Row],[Quantity]]*RawSalesTable[[#This Row],[Unit Price]]</f>
        <v>-11600</v>
      </c>
      <c r="N187" t="s">
        <v>50</v>
      </c>
      <c r="O187" s="9" t="s">
        <v>97</v>
      </c>
    </row>
    <row r="188" spans="1:15" x14ac:dyDescent="0.25">
      <c r="A188" s="5" t="s">
        <v>269</v>
      </c>
      <c r="B188" s="6">
        <v>45911</v>
      </c>
      <c r="C188" t="s">
        <v>61</v>
      </c>
      <c r="D188" t="s">
        <v>92</v>
      </c>
      <c r="E188" t="s">
        <v>42</v>
      </c>
      <c r="F188" t="s">
        <v>43</v>
      </c>
      <c r="G188" t="s">
        <v>48</v>
      </c>
      <c r="H188" t="s">
        <v>90</v>
      </c>
      <c r="I188">
        <v>1</v>
      </c>
      <c r="J188" s="7">
        <v>14500</v>
      </c>
      <c r="K188" s="8">
        <v>0</v>
      </c>
      <c r="L188" s="7">
        <v>14500</v>
      </c>
      <c r="M188" s="7">
        <f>RawSalesTable[[#This Row],[Sales Amount]]-RawSalesTable[[#This Row],[Quantity]]*RawSalesTable[[#This Row],[Unit Price]]</f>
        <v>0</v>
      </c>
      <c r="N188" t="s">
        <v>23</v>
      </c>
      <c r="O188" s="9" t="s">
        <v>59</v>
      </c>
    </row>
    <row r="189" spans="1:15" x14ac:dyDescent="0.25">
      <c r="A189" s="5" t="s">
        <v>270</v>
      </c>
      <c r="B189" s="6">
        <v>45696</v>
      </c>
      <c r="C189" t="s">
        <v>46</v>
      </c>
      <c r="D189" t="s">
        <v>81</v>
      </c>
      <c r="E189" t="s">
        <v>72</v>
      </c>
      <c r="F189" t="s">
        <v>43</v>
      </c>
      <c r="G189" t="s">
        <v>77</v>
      </c>
      <c r="H189" t="s">
        <v>78</v>
      </c>
      <c r="I189">
        <v>4</v>
      </c>
      <c r="J189" s="7">
        <v>21000</v>
      </c>
      <c r="K189" s="8">
        <v>0</v>
      </c>
      <c r="L189" s="7">
        <v>84000</v>
      </c>
      <c r="M189" s="7">
        <f>RawSalesTable[[#This Row],[Sales Amount]]-RawSalesTable[[#This Row],[Quantity]]*RawSalesTable[[#This Row],[Unit Price]]</f>
        <v>0</v>
      </c>
      <c r="N189" t="s">
        <v>23</v>
      </c>
      <c r="O189" s="9" t="s">
        <v>32</v>
      </c>
    </row>
    <row r="190" spans="1:15" x14ac:dyDescent="0.25">
      <c r="A190" s="5" t="s">
        <v>271</v>
      </c>
      <c r="B190" s="6">
        <v>46012</v>
      </c>
      <c r="C190" t="s">
        <v>53</v>
      </c>
      <c r="D190" t="s">
        <v>110</v>
      </c>
      <c r="E190" t="s">
        <v>72</v>
      </c>
      <c r="F190" t="s">
        <v>43</v>
      </c>
      <c r="G190" t="s">
        <v>54</v>
      </c>
      <c r="H190" t="s">
        <v>55</v>
      </c>
      <c r="I190">
        <v>2</v>
      </c>
      <c r="J190" s="7">
        <v>58000</v>
      </c>
      <c r="K190" s="8">
        <v>0</v>
      </c>
      <c r="L190" s="7">
        <v>116000</v>
      </c>
      <c r="M190" s="7">
        <f>RawSalesTable[[#This Row],[Sales Amount]]-RawSalesTable[[#This Row],[Quantity]]*RawSalesTable[[#This Row],[Unit Price]]</f>
        <v>0</v>
      </c>
      <c r="N190" t="s">
        <v>50</v>
      </c>
      <c r="O190" s="9" t="s">
        <v>32</v>
      </c>
    </row>
    <row r="191" spans="1:15" x14ac:dyDescent="0.25">
      <c r="A191" s="5" t="s">
        <v>272</v>
      </c>
      <c r="B191" s="6">
        <v>45761</v>
      </c>
      <c r="C191" t="s">
        <v>26</v>
      </c>
      <c r="D191" t="s">
        <v>95</v>
      </c>
      <c r="E191" t="s">
        <v>87</v>
      </c>
      <c r="F191" t="s">
        <v>20</v>
      </c>
      <c r="G191" t="s">
        <v>30</v>
      </c>
      <c r="H191" t="s">
        <v>37</v>
      </c>
      <c r="I191">
        <v>4</v>
      </c>
      <c r="J191" s="7">
        <v>2800</v>
      </c>
      <c r="K191" s="8">
        <v>0</v>
      </c>
      <c r="L191" s="7">
        <v>11200</v>
      </c>
      <c r="M191" s="7">
        <f>RawSalesTable[[#This Row],[Sales Amount]]-RawSalesTable[[#This Row],[Quantity]]*RawSalesTable[[#This Row],[Unit Price]]</f>
        <v>0</v>
      </c>
      <c r="N191" t="s">
        <v>38</v>
      </c>
      <c r="O191" s="9" t="s">
        <v>74</v>
      </c>
    </row>
    <row r="192" spans="1:15" x14ac:dyDescent="0.25">
      <c r="A192" s="5" t="s">
        <v>273</v>
      </c>
      <c r="B192" s="6">
        <v>45976</v>
      </c>
      <c r="C192" t="s">
        <v>34</v>
      </c>
      <c r="D192" t="s">
        <v>71</v>
      </c>
      <c r="E192" t="s">
        <v>72</v>
      </c>
      <c r="F192" t="s">
        <v>43</v>
      </c>
      <c r="G192" t="s">
        <v>48</v>
      </c>
      <c r="H192" t="s">
        <v>105</v>
      </c>
      <c r="I192">
        <v>4</v>
      </c>
      <c r="J192" s="7">
        <v>21000</v>
      </c>
      <c r="K192" s="8">
        <v>0</v>
      </c>
      <c r="L192" s="7">
        <v>84000</v>
      </c>
      <c r="M192" s="7">
        <f>RawSalesTable[[#This Row],[Sales Amount]]-RawSalesTable[[#This Row],[Quantity]]*RawSalesTable[[#This Row],[Unit Price]]</f>
        <v>0</v>
      </c>
      <c r="N192" t="s">
        <v>50</v>
      </c>
      <c r="O192" s="9" t="s">
        <v>32</v>
      </c>
    </row>
    <row r="193" spans="1:15" x14ac:dyDescent="0.25">
      <c r="A193" s="5" t="s">
        <v>274</v>
      </c>
      <c r="B193" s="6">
        <v>45665</v>
      </c>
      <c r="C193" t="s">
        <v>46</v>
      </c>
      <c r="D193" t="s">
        <v>92</v>
      </c>
      <c r="E193" t="s">
        <v>42</v>
      </c>
      <c r="F193" t="s">
        <v>43</v>
      </c>
      <c r="G193" t="s">
        <v>30</v>
      </c>
      <c r="H193" t="s">
        <v>37</v>
      </c>
      <c r="I193">
        <v>2</v>
      </c>
      <c r="J193" s="7">
        <v>2800</v>
      </c>
      <c r="K193" s="8">
        <v>0.1</v>
      </c>
      <c r="L193" s="7">
        <v>5040</v>
      </c>
      <c r="M193" s="7">
        <f>RawSalesTable[[#This Row],[Sales Amount]]-RawSalesTable[[#This Row],[Quantity]]*RawSalesTable[[#This Row],[Unit Price]]</f>
        <v>-560</v>
      </c>
      <c r="N193" t="s">
        <v>50</v>
      </c>
      <c r="O193" s="9" t="s">
        <v>39</v>
      </c>
    </row>
    <row r="194" spans="1:15" x14ac:dyDescent="0.25">
      <c r="A194" s="5" t="s">
        <v>275</v>
      </c>
      <c r="B194" s="6">
        <v>45863</v>
      </c>
      <c r="C194" t="s">
        <v>94</v>
      </c>
      <c r="D194" t="s">
        <v>47</v>
      </c>
      <c r="E194" t="s">
        <v>19</v>
      </c>
      <c r="F194" t="s">
        <v>20</v>
      </c>
      <c r="G194" t="s">
        <v>48</v>
      </c>
      <c r="H194" t="s">
        <v>49</v>
      </c>
      <c r="I194">
        <v>3</v>
      </c>
      <c r="J194" s="7">
        <v>13500</v>
      </c>
      <c r="K194" s="8">
        <v>0</v>
      </c>
      <c r="L194" s="7">
        <v>40500</v>
      </c>
      <c r="M194" s="7">
        <f>RawSalesTable[[#This Row],[Sales Amount]]-RawSalesTable[[#This Row],[Quantity]]*RawSalesTable[[#This Row],[Unit Price]]</f>
        <v>0</v>
      </c>
      <c r="N194" t="s">
        <v>58</v>
      </c>
      <c r="O194" s="9" t="s">
        <v>79</v>
      </c>
    </row>
    <row r="195" spans="1:15" x14ac:dyDescent="0.25">
      <c r="A195" s="5" t="s">
        <v>276</v>
      </c>
      <c r="B195" s="6">
        <v>45970</v>
      </c>
      <c r="C195" t="s">
        <v>94</v>
      </c>
      <c r="D195" t="s">
        <v>67</v>
      </c>
      <c r="E195" t="s">
        <v>36</v>
      </c>
      <c r="F195" t="s">
        <v>29</v>
      </c>
      <c r="G195" t="s">
        <v>54</v>
      </c>
      <c r="H195" t="s">
        <v>68</v>
      </c>
      <c r="I195">
        <v>2</v>
      </c>
      <c r="J195" s="7">
        <v>52000</v>
      </c>
      <c r="K195" s="8">
        <v>0.05</v>
      </c>
      <c r="L195" s="7">
        <v>98800</v>
      </c>
      <c r="M195" s="7">
        <f>RawSalesTable[[#This Row],[Sales Amount]]-RawSalesTable[[#This Row],[Quantity]]*RawSalesTable[[#This Row],[Unit Price]]</f>
        <v>-5200</v>
      </c>
      <c r="N195" t="s">
        <v>23</v>
      </c>
      <c r="O195" s="9" t="s">
        <v>24</v>
      </c>
    </row>
    <row r="196" spans="1:15" x14ac:dyDescent="0.25">
      <c r="A196" s="5" t="s">
        <v>277</v>
      </c>
      <c r="B196" s="6">
        <v>45707</v>
      </c>
      <c r="C196" t="s">
        <v>118</v>
      </c>
      <c r="D196" t="s">
        <v>35</v>
      </c>
      <c r="E196" t="s">
        <v>36</v>
      </c>
      <c r="F196" t="s">
        <v>29</v>
      </c>
      <c r="G196" t="s">
        <v>21</v>
      </c>
      <c r="H196" t="s">
        <v>22</v>
      </c>
      <c r="I196">
        <v>4</v>
      </c>
      <c r="J196" s="7">
        <v>1500</v>
      </c>
      <c r="K196" s="8">
        <v>0.15</v>
      </c>
      <c r="L196" s="7">
        <v>5100</v>
      </c>
      <c r="M196" s="7">
        <f>RawSalesTable[[#This Row],[Sales Amount]]-RawSalesTable[[#This Row],[Quantity]]*RawSalesTable[[#This Row],[Unit Price]]</f>
        <v>-900</v>
      </c>
      <c r="N196" t="s">
        <v>73</v>
      </c>
      <c r="O196" s="9" t="s">
        <v>39</v>
      </c>
    </row>
    <row r="197" spans="1:15" x14ac:dyDescent="0.25">
      <c r="A197" s="5" t="s">
        <v>278</v>
      </c>
      <c r="B197" s="6">
        <v>46014</v>
      </c>
      <c r="C197" t="s">
        <v>61</v>
      </c>
      <c r="D197" t="s">
        <v>47</v>
      </c>
      <c r="E197" t="s">
        <v>19</v>
      </c>
      <c r="F197" t="s">
        <v>20</v>
      </c>
      <c r="G197" t="s">
        <v>54</v>
      </c>
      <c r="H197" t="s">
        <v>68</v>
      </c>
      <c r="I197">
        <v>2</v>
      </c>
      <c r="J197" s="7">
        <v>52000</v>
      </c>
      <c r="K197" s="8">
        <v>0.15</v>
      </c>
      <c r="L197" s="7">
        <v>88400</v>
      </c>
      <c r="M197" s="7">
        <f>RawSalesTable[[#This Row],[Sales Amount]]-RawSalesTable[[#This Row],[Quantity]]*RawSalesTable[[#This Row],[Unit Price]]</f>
        <v>-15600</v>
      </c>
      <c r="N197" t="s">
        <v>38</v>
      </c>
      <c r="O197" s="9" t="s">
        <v>97</v>
      </c>
    </row>
    <row r="198" spans="1:15" x14ac:dyDescent="0.25">
      <c r="A198" s="5" t="s">
        <v>279</v>
      </c>
      <c r="B198" s="6">
        <v>45663</v>
      </c>
      <c r="C198" t="s">
        <v>17</v>
      </c>
      <c r="D198" t="s">
        <v>27</v>
      </c>
      <c r="E198" t="s">
        <v>28</v>
      </c>
      <c r="F198" t="s">
        <v>29</v>
      </c>
      <c r="G198" t="s">
        <v>21</v>
      </c>
      <c r="H198" t="s">
        <v>22</v>
      </c>
      <c r="I198">
        <v>1</v>
      </c>
      <c r="J198" s="7">
        <v>1500</v>
      </c>
      <c r="K198" s="8">
        <v>0.15</v>
      </c>
      <c r="L198" s="7">
        <v>1275</v>
      </c>
      <c r="M198" s="7">
        <f>RawSalesTable[[#This Row],[Sales Amount]]-RawSalesTable[[#This Row],[Quantity]]*RawSalesTable[[#This Row],[Unit Price]]</f>
        <v>-225</v>
      </c>
      <c r="N198" t="s">
        <v>73</v>
      </c>
      <c r="O198" s="9" t="s">
        <v>39</v>
      </c>
    </row>
    <row r="199" spans="1:15" x14ac:dyDescent="0.25">
      <c r="A199" s="5" t="s">
        <v>280</v>
      </c>
      <c r="B199" s="6">
        <v>45789</v>
      </c>
      <c r="C199" t="s">
        <v>84</v>
      </c>
      <c r="D199" t="s">
        <v>41</v>
      </c>
      <c r="E199" t="s">
        <v>42</v>
      </c>
      <c r="F199" t="s">
        <v>43</v>
      </c>
      <c r="G199" t="s">
        <v>77</v>
      </c>
      <c r="H199" t="s">
        <v>78</v>
      </c>
      <c r="I199">
        <v>3</v>
      </c>
      <c r="J199" s="7">
        <v>21000</v>
      </c>
      <c r="K199" s="8">
        <v>0</v>
      </c>
      <c r="L199" s="7">
        <v>63000</v>
      </c>
      <c r="M199" s="7">
        <f>RawSalesTable[[#This Row],[Sales Amount]]-RawSalesTable[[#This Row],[Quantity]]*RawSalesTable[[#This Row],[Unit Price]]</f>
        <v>0</v>
      </c>
      <c r="N199" t="s">
        <v>23</v>
      </c>
      <c r="O199" s="9" t="s">
        <v>39</v>
      </c>
    </row>
    <row r="200" spans="1:15" x14ac:dyDescent="0.25">
      <c r="A200" s="5" t="s">
        <v>281</v>
      </c>
      <c r="B200" s="6">
        <v>45880</v>
      </c>
      <c r="C200" t="s">
        <v>61</v>
      </c>
      <c r="D200" t="s">
        <v>86</v>
      </c>
      <c r="E200" t="s">
        <v>87</v>
      </c>
      <c r="F200" t="s">
        <v>20</v>
      </c>
      <c r="G200" t="s">
        <v>30</v>
      </c>
      <c r="H200" t="s">
        <v>57</v>
      </c>
      <c r="I200">
        <v>4</v>
      </c>
      <c r="J200" s="7">
        <v>4500</v>
      </c>
      <c r="K200" s="8">
        <v>0.05</v>
      </c>
      <c r="L200" s="7">
        <v>17100</v>
      </c>
      <c r="M200" s="7">
        <f>RawSalesTable[[#This Row],[Sales Amount]]-RawSalesTable[[#This Row],[Quantity]]*RawSalesTable[[#This Row],[Unit Price]]</f>
        <v>-900</v>
      </c>
      <c r="N200" t="s">
        <v>50</v>
      </c>
      <c r="O200" s="9" t="s">
        <v>59</v>
      </c>
    </row>
    <row r="201" spans="1:15" x14ac:dyDescent="0.25">
      <c r="A201" s="5" t="s">
        <v>282</v>
      </c>
      <c r="B201" s="6">
        <v>45668</v>
      </c>
      <c r="C201" t="s">
        <v>46</v>
      </c>
      <c r="D201" t="s">
        <v>71</v>
      </c>
      <c r="E201" t="s">
        <v>72</v>
      </c>
      <c r="F201" t="s">
        <v>43</v>
      </c>
      <c r="G201" t="s">
        <v>77</v>
      </c>
      <c r="H201" t="s">
        <v>111</v>
      </c>
      <c r="I201">
        <v>3</v>
      </c>
      <c r="J201" s="7">
        <v>29000</v>
      </c>
      <c r="K201" s="8">
        <v>0.1</v>
      </c>
      <c r="L201" s="7">
        <v>78300</v>
      </c>
      <c r="M201" s="7">
        <f>RawSalesTable[[#This Row],[Sales Amount]]-RawSalesTable[[#This Row],[Quantity]]*RawSalesTable[[#This Row],[Unit Price]]</f>
        <v>-8700</v>
      </c>
      <c r="N201" t="s">
        <v>58</v>
      </c>
      <c r="O201" s="9" t="s">
        <v>59</v>
      </c>
    </row>
    <row r="202" spans="1:15" x14ac:dyDescent="0.25">
      <c r="A202" s="5" t="s">
        <v>283</v>
      </c>
      <c r="B202" s="6">
        <v>45681</v>
      </c>
      <c r="C202" t="s">
        <v>17</v>
      </c>
      <c r="D202" t="s">
        <v>47</v>
      </c>
      <c r="E202" t="s">
        <v>19</v>
      </c>
      <c r="F202" t="s">
        <v>20</v>
      </c>
      <c r="G202" t="s">
        <v>54</v>
      </c>
      <c r="H202" t="s">
        <v>68</v>
      </c>
      <c r="I202">
        <v>4</v>
      </c>
      <c r="J202" s="7">
        <v>52000</v>
      </c>
      <c r="K202" s="8">
        <v>0</v>
      </c>
      <c r="L202" s="7">
        <v>208000</v>
      </c>
      <c r="M202" s="7">
        <f>RawSalesTable[[#This Row],[Sales Amount]]-RawSalesTable[[#This Row],[Quantity]]*RawSalesTable[[#This Row],[Unit Price]]</f>
        <v>0</v>
      </c>
      <c r="N202" t="s">
        <v>38</v>
      </c>
      <c r="O202" s="9" t="s">
        <v>74</v>
      </c>
    </row>
    <row r="203" spans="1:15" x14ac:dyDescent="0.25">
      <c r="A203" s="5" t="s">
        <v>284</v>
      </c>
      <c r="B203" s="6">
        <v>45858</v>
      </c>
      <c r="C203" t="s">
        <v>70</v>
      </c>
      <c r="D203" t="s">
        <v>41</v>
      </c>
      <c r="E203" t="s">
        <v>42</v>
      </c>
      <c r="F203" t="s">
        <v>43</v>
      </c>
      <c r="G203" t="s">
        <v>21</v>
      </c>
      <c r="H203" t="s">
        <v>82</v>
      </c>
      <c r="I203">
        <v>4</v>
      </c>
      <c r="J203" s="7">
        <v>900</v>
      </c>
      <c r="K203" s="8">
        <v>0</v>
      </c>
      <c r="L203" s="7">
        <v>3600</v>
      </c>
      <c r="M203" s="7">
        <f>RawSalesTable[[#This Row],[Sales Amount]]-RawSalesTable[[#This Row],[Quantity]]*RawSalesTable[[#This Row],[Unit Price]]</f>
        <v>0</v>
      </c>
      <c r="N203" t="s">
        <v>73</v>
      </c>
      <c r="O203" s="9" t="s">
        <v>39</v>
      </c>
    </row>
    <row r="204" spans="1:15" x14ac:dyDescent="0.25">
      <c r="A204" s="5" t="s">
        <v>285</v>
      </c>
      <c r="B204" s="6">
        <v>45812</v>
      </c>
      <c r="C204" t="s">
        <v>70</v>
      </c>
      <c r="D204" t="s">
        <v>47</v>
      </c>
      <c r="E204" t="s">
        <v>19</v>
      </c>
      <c r="F204" t="s">
        <v>20</v>
      </c>
      <c r="G204" t="s">
        <v>54</v>
      </c>
      <c r="H204" t="s">
        <v>68</v>
      </c>
      <c r="I204">
        <v>3</v>
      </c>
      <c r="J204" s="7">
        <v>52000</v>
      </c>
      <c r="K204" s="8">
        <v>0.05</v>
      </c>
      <c r="L204" s="7">
        <v>148200</v>
      </c>
      <c r="M204" s="7">
        <f>RawSalesTable[[#This Row],[Sales Amount]]-RawSalesTable[[#This Row],[Quantity]]*RawSalesTable[[#This Row],[Unit Price]]</f>
        <v>-7800</v>
      </c>
      <c r="N204" t="s">
        <v>38</v>
      </c>
      <c r="O204" s="9" t="s">
        <v>59</v>
      </c>
    </row>
    <row r="205" spans="1:15" x14ac:dyDescent="0.25">
      <c r="A205" s="5" t="s">
        <v>286</v>
      </c>
      <c r="B205" s="6">
        <v>45772</v>
      </c>
      <c r="C205" t="s">
        <v>70</v>
      </c>
      <c r="D205" t="s">
        <v>27</v>
      </c>
      <c r="E205" t="s">
        <v>28</v>
      </c>
      <c r="F205" t="s">
        <v>29</v>
      </c>
      <c r="G205" t="s">
        <v>48</v>
      </c>
      <c r="H205" t="s">
        <v>105</v>
      </c>
      <c r="I205">
        <v>4</v>
      </c>
      <c r="J205" s="7">
        <v>21000</v>
      </c>
      <c r="K205" s="8">
        <v>0</v>
      </c>
      <c r="L205" s="7">
        <v>84000</v>
      </c>
      <c r="M205" s="7">
        <f>RawSalesTable[[#This Row],[Sales Amount]]-RawSalesTable[[#This Row],[Quantity]]*RawSalesTable[[#This Row],[Unit Price]]</f>
        <v>0</v>
      </c>
      <c r="N205" t="s">
        <v>38</v>
      </c>
      <c r="O205" s="9" t="s">
        <v>97</v>
      </c>
    </row>
    <row r="206" spans="1:15" x14ac:dyDescent="0.25">
      <c r="A206" s="5" t="s">
        <v>287</v>
      </c>
      <c r="B206" s="6">
        <v>45789</v>
      </c>
      <c r="C206" t="s">
        <v>94</v>
      </c>
      <c r="D206" t="s">
        <v>95</v>
      </c>
      <c r="E206" t="s">
        <v>87</v>
      </c>
      <c r="F206" t="s">
        <v>20</v>
      </c>
      <c r="G206" t="s">
        <v>77</v>
      </c>
      <c r="H206" t="s">
        <v>99</v>
      </c>
      <c r="I206">
        <v>2</v>
      </c>
      <c r="J206" s="7">
        <v>24000</v>
      </c>
      <c r="K206" s="8">
        <v>0.15</v>
      </c>
      <c r="L206" s="7">
        <v>40800</v>
      </c>
      <c r="M206" s="7">
        <f>RawSalesTable[[#This Row],[Sales Amount]]-RawSalesTable[[#This Row],[Quantity]]*RawSalesTable[[#This Row],[Unit Price]]</f>
        <v>-7200</v>
      </c>
      <c r="N206" t="s">
        <v>73</v>
      </c>
      <c r="O206" s="9" t="s">
        <v>32</v>
      </c>
    </row>
    <row r="207" spans="1:15" x14ac:dyDescent="0.25">
      <c r="A207" s="5" t="s">
        <v>288</v>
      </c>
      <c r="B207" s="6">
        <v>45764</v>
      </c>
      <c r="C207" t="s">
        <v>84</v>
      </c>
      <c r="D207" t="s">
        <v>35</v>
      </c>
      <c r="E207" t="s">
        <v>36</v>
      </c>
      <c r="F207" t="s">
        <v>29</v>
      </c>
      <c r="G207" t="s">
        <v>54</v>
      </c>
      <c r="H207" t="s">
        <v>68</v>
      </c>
      <c r="I207">
        <v>2</v>
      </c>
      <c r="J207" s="7">
        <v>52000</v>
      </c>
      <c r="K207" s="8">
        <v>0.15</v>
      </c>
      <c r="L207" s="7">
        <v>88400</v>
      </c>
      <c r="M207" s="7">
        <f>RawSalesTable[[#This Row],[Sales Amount]]-RawSalesTable[[#This Row],[Quantity]]*RawSalesTable[[#This Row],[Unit Price]]</f>
        <v>-15600</v>
      </c>
      <c r="N207" t="s">
        <v>58</v>
      </c>
      <c r="O207" s="9" t="s">
        <v>24</v>
      </c>
    </row>
    <row r="208" spans="1:15" x14ac:dyDescent="0.25">
      <c r="A208" s="5" t="s">
        <v>289</v>
      </c>
      <c r="B208" s="6">
        <v>45838</v>
      </c>
      <c r="C208" t="s">
        <v>94</v>
      </c>
      <c r="D208" t="s">
        <v>62</v>
      </c>
      <c r="E208" t="s">
        <v>28</v>
      </c>
      <c r="F208" t="s">
        <v>29</v>
      </c>
      <c r="G208" t="s">
        <v>54</v>
      </c>
      <c r="H208" t="s">
        <v>55</v>
      </c>
      <c r="I208">
        <v>4</v>
      </c>
      <c r="J208" s="7">
        <v>58000</v>
      </c>
      <c r="K208" s="8">
        <v>0.1</v>
      </c>
      <c r="L208" s="7">
        <v>208800</v>
      </c>
      <c r="M208" s="7">
        <f>RawSalesTable[[#This Row],[Sales Amount]]-RawSalesTable[[#This Row],[Quantity]]*RawSalesTable[[#This Row],[Unit Price]]</f>
        <v>-23200</v>
      </c>
      <c r="N208" t="s">
        <v>58</v>
      </c>
      <c r="O208" s="9" t="s">
        <v>39</v>
      </c>
    </row>
    <row r="209" spans="1:15" x14ac:dyDescent="0.25">
      <c r="A209" s="5" t="s">
        <v>290</v>
      </c>
      <c r="B209" s="6">
        <v>45758</v>
      </c>
      <c r="C209" t="s">
        <v>70</v>
      </c>
      <c r="D209" t="s">
        <v>71</v>
      </c>
      <c r="E209" t="s">
        <v>72</v>
      </c>
      <c r="F209" t="s">
        <v>43</v>
      </c>
      <c r="G209" t="s">
        <v>77</v>
      </c>
      <c r="H209" t="s">
        <v>78</v>
      </c>
      <c r="I209">
        <v>2</v>
      </c>
      <c r="J209" s="7">
        <v>21000</v>
      </c>
      <c r="K209" s="8">
        <v>0.1</v>
      </c>
      <c r="L209" s="7">
        <v>37800</v>
      </c>
      <c r="M209" s="7">
        <f>RawSalesTable[[#This Row],[Sales Amount]]-RawSalesTable[[#This Row],[Quantity]]*RawSalesTable[[#This Row],[Unit Price]]</f>
        <v>-4200</v>
      </c>
      <c r="N209" t="s">
        <v>50</v>
      </c>
      <c r="O209" s="9" t="s">
        <v>74</v>
      </c>
    </row>
    <row r="210" spans="1:15" x14ac:dyDescent="0.25">
      <c r="A210" s="5" t="s">
        <v>291</v>
      </c>
      <c r="B210" s="6">
        <v>45691</v>
      </c>
      <c r="C210" t="s">
        <v>61</v>
      </c>
      <c r="D210" t="s">
        <v>35</v>
      </c>
      <c r="E210" t="s">
        <v>36</v>
      </c>
      <c r="F210" t="s">
        <v>29</v>
      </c>
      <c r="G210" t="s">
        <v>30</v>
      </c>
      <c r="H210" t="s">
        <v>37</v>
      </c>
      <c r="I210">
        <v>2</v>
      </c>
      <c r="J210" s="7">
        <v>2800</v>
      </c>
      <c r="K210" s="8">
        <v>0.05</v>
      </c>
      <c r="L210" s="7">
        <v>5320</v>
      </c>
      <c r="M210" s="7">
        <f>RawSalesTable[[#This Row],[Sales Amount]]-RawSalesTable[[#This Row],[Quantity]]*RawSalesTable[[#This Row],[Unit Price]]</f>
        <v>-280</v>
      </c>
      <c r="N210" t="s">
        <v>58</v>
      </c>
      <c r="O210" s="9" t="s">
        <v>32</v>
      </c>
    </row>
    <row r="211" spans="1:15" x14ac:dyDescent="0.25">
      <c r="A211" s="5" t="s">
        <v>292</v>
      </c>
      <c r="B211" s="6">
        <v>45750</v>
      </c>
      <c r="C211" t="s">
        <v>94</v>
      </c>
      <c r="D211" t="s">
        <v>81</v>
      </c>
      <c r="E211" t="s">
        <v>72</v>
      </c>
      <c r="F211" t="s">
        <v>43</v>
      </c>
      <c r="G211" t="s">
        <v>21</v>
      </c>
      <c r="H211" t="s">
        <v>82</v>
      </c>
      <c r="I211">
        <v>1</v>
      </c>
      <c r="J211" s="7">
        <v>900</v>
      </c>
      <c r="K211" s="8">
        <v>0.1</v>
      </c>
      <c r="L211" s="7">
        <v>810</v>
      </c>
      <c r="M211" s="7">
        <f>RawSalesTable[[#This Row],[Sales Amount]]-RawSalesTable[[#This Row],[Quantity]]*RawSalesTable[[#This Row],[Unit Price]]</f>
        <v>-90</v>
      </c>
      <c r="N211" t="s">
        <v>23</v>
      </c>
      <c r="O211" s="9" t="s">
        <v>39</v>
      </c>
    </row>
    <row r="212" spans="1:15" x14ac:dyDescent="0.25">
      <c r="A212" s="5" t="s">
        <v>293</v>
      </c>
      <c r="B212" s="6">
        <v>45939</v>
      </c>
      <c r="C212" t="s">
        <v>70</v>
      </c>
      <c r="D212" t="s">
        <v>27</v>
      </c>
      <c r="E212" t="s">
        <v>28</v>
      </c>
      <c r="F212" t="s">
        <v>29</v>
      </c>
      <c r="G212" t="s">
        <v>48</v>
      </c>
      <c r="H212" t="s">
        <v>105</v>
      </c>
      <c r="I212">
        <v>2</v>
      </c>
      <c r="J212" s="7">
        <v>21000</v>
      </c>
      <c r="K212" s="8">
        <v>0</v>
      </c>
      <c r="L212" s="7">
        <v>42000</v>
      </c>
      <c r="M212" s="7">
        <f>RawSalesTable[[#This Row],[Sales Amount]]-RawSalesTable[[#This Row],[Quantity]]*RawSalesTable[[#This Row],[Unit Price]]</f>
        <v>0</v>
      </c>
      <c r="N212" t="s">
        <v>50</v>
      </c>
      <c r="O212" s="9" t="s">
        <v>51</v>
      </c>
    </row>
    <row r="213" spans="1:15" x14ac:dyDescent="0.25">
      <c r="A213" s="5" t="s">
        <v>294</v>
      </c>
      <c r="B213" s="6">
        <v>45922</v>
      </c>
      <c r="C213" t="s">
        <v>61</v>
      </c>
      <c r="D213" t="s">
        <v>92</v>
      </c>
      <c r="E213" t="s">
        <v>42</v>
      </c>
      <c r="F213" t="s">
        <v>43</v>
      </c>
      <c r="G213" t="s">
        <v>54</v>
      </c>
      <c r="H213" t="s">
        <v>68</v>
      </c>
      <c r="I213">
        <v>4</v>
      </c>
      <c r="J213" s="7">
        <v>52000</v>
      </c>
      <c r="K213" s="8">
        <v>0</v>
      </c>
      <c r="L213" s="7">
        <v>208000</v>
      </c>
      <c r="M213" s="7">
        <f>RawSalesTable[[#This Row],[Sales Amount]]-RawSalesTable[[#This Row],[Quantity]]*RawSalesTable[[#This Row],[Unit Price]]</f>
        <v>0</v>
      </c>
      <c r="N213" t="s">
        <v>23</v>
      </c>
      <c r="O213" s="9" t="s">
        <v>74</v>
      </c>
    </row>
    <row r="214" spans="1:15" x14ac:dyDescent="0.25">
      <c r="A214" s="5" t="s">
        <v>295</v>
      </c>
      <c r="B214" s="6">
        <v>45840</v>
      </c>
      <c r="C214" t="s">
        <v>94</v>
      </c>
      <c r="D214" t="s">
        <v>47</v>
      </c>
      <c r="E214" t="s">
        <v>19</v>
      </c>
      <c r="F214" t="s">
        <v>20</v>
      </c>
      <c r="G214" t="s">
        <v>48</v>
      </c>
      <c r="H214" t="s">
        <v>49</v>
      </c>
      <c r="I214">
        <v>2</v>
      </c>
      <c r="J214" s="7">
        <v>13500</v>
      </c>
      <c r="K214" s="8">
        <v>0.05</v>
      </c>
      <c r="L214" s="7">
        <v>25650</v>
      </c>
      <c r="M214" s="7">
        <f>RawSalesTable[[#This Row],[Sales Amount]]-RawSalesTable[[#This Row],[Quantity]]*RawSalesTable[[#This Row],[Unit Price]]</f>
        <v>-1350</v>
      </c>
      <c r="N214" t="s">
        <v>38</v>
      </c>
      <c r="O214" s="9" t="s">
        <v>97</v>
      </c>
    </row>
    <row r="215" spans="1:15" x14ac:dyDescent="0.25">
      <c r="A215" s="5" t="s">
        <v>296</v>
      </c>
      <c r="B215" s="6">
        <v>45679</v>
      </c>
      <c r="C215" t="s">
        <v>94</v>
      </c>
      <c r="D215" t="s">
        <v>62</v>
      </c>
      <c r="E215" t="s">
        <v>28</v>
      </c>
      <c r="F215" t="s">
        <v>29</v>
      </c>
      <c r="G215" t="s">
        <v>21</v>
      </c>
      <c r="H215" t="s">
        <v>44</v>
      </c>
      <c r="I215">
        <v>1</v>
      </c>
      <c r="J215" s="7">
        <v>1200</v>
      </c>
      <c r="K215" s="8">
        <v>0.05</v>
      </c>
      <c r="L215" s="7">
        <v>1140</v>
      </c>
      <c r="M215" s="7">
        <f>RawSalesTable[[#This Row],[Sales Amount]]-RawSalesTable[[#This Row],[Quantity]]*RawSalesTable[[#This Row],[Unit Price]]</f>
        <v>-60</v>
      </c>
      <c r="N215" t="s">
        <v>23</v>
      </c>
      <c r="O215" s="9" t="s">
        <v>39</v>
      </c>
    </row>
    <row r="216" spans="1:15" x14ac:dyDescent="0.25">
      <c r="A216" s="5" t="s">
        <v>297</v>
      </c>
      <c r="B216" s="6">
        <v>45908</v>
      </c>
      <c r="C216" t="s">
        <v>34</v>
      </c>
      <c r="D216" t="s">
        <v>67</v>
      </c>
      <c r="E216" t="s">
        <v>36</v>
      </c>
      <c r="F216" t="s">
        <v>29</v>
      </c>
      <c r="G216" t="s">
        <v>48</v>
      </c>
      <c r="H216" t="s">
        <v>90</v>
      </c>
      <c r="I216">
        <v>4</v>
      </c>
      <c r="J216" s="7">
        <v>14500</v>
      </c>
      <c r="K216" s="8">
        <v>0</v>
      </c>
      <c r="L216" s="7">
        <v>58000</v>
      </c>
      <c r="M216" s="7">
        <f>RawSalesTable[[#This Row],[Sales Amount]]-RawSalesTable[[#This Row],[Quantity]]*RawSalesTable[[#This Row],[Unit Price]]</f>
        <v>0</v>
      </c>
      <c r="N216" t="s">
        <v>50</v>
      </c>
      <c r="O216" s="9" t="s">
        <v>51</v>
      </c>
    </row>
    <row r="217" spans="1:15" x14ac:dyDescent="0.25">
      <c r="A217" s="5" t="s">
        <v>298</v>
      </c>
      <c r="B217" s="6">
        <v>45729</v>
      </c>
      <c r="C217" t="s">
        <v>84</v>
      </c>
      <c r="D217" t="s">
        <v>71</v>
      </c>
      <c r="E217" t="s">
        <v>72</v>
      </c>
      <c r="F217" t="s">
        <v>43</v>
      </c>
      <c r="G217" t="s">
        <v>30</v>
      </c>
      <c r="H217" t="s">
        <v>37</v>
      </c>
      <c r="I217">
        <v>1</v>
      </c>
      <c r="J217" s="7">
        <v>2800</v>
      </c>
      <c r="K217" s="8">
        <v>0</v>
      </c>
      <c r="L217" s="7">
        <v>2800</v>
      </c>
      <c r="M217" s="7">
        <f>RawSalesTable[[#This Row],[Sales Amount]]-RawSalesTable[[#This Row],[Quantity]]*RawSalesTable[[#This Row],[Unit Price]]</f>
        <v>0</v>
      </c>
      <c r="N217" t="s">
        <v>38</v>
      </c>
      <c r="O217" s="9" t="s">
        <v>24</v>
      </c>
    </row>
    <row r="218" spans="1:15" x14ac:dyDescent="0.25">
      <c r="A218" s="5" t="s">
        <v>299</v>
      </c>
      <c r="B218" s="6">
        <v>45936</v>
      </c>
      <c r="C218" t="s">
        <v>53</v>
      </c>
      <c r="D218" t="s">
        <v>47</v>
      </c>
      <c r="E218" t="s">
        <v>19</v>
      </c>
      <c r="F218" t="s">
        <v>20</v>
      </c>
      <c r="G218" t="s">
        <v>48</v>
      </c>
      <c r="H218" t="s">
        <v>90</v>
      </c>
      <c r="I218">
        <v>2</v>
      </c>
      <c r="J218" s="7">
        <v>14500</v>
      </c>
      <c r="K218" s="8">
        <v>0</v>
      </c>
      <c r="L218" s="7">
        <v>29000</v>
      </c>
      <c r="M218" s="7">
        <f>RawSalesTable[[#This Row],[Sales Amount]]-RawSalesTable[[#This Row],[Quantity]]*RawSalesTable[[#This Row],[Unit Price]]</f>
        <v>0</v>
      </c>
      <c r="N218" t="s">
        <v>73</v>
      </c>
      <c r="O218" s="9" t="s">
        <v>97</v>
      </c>
    </row>
    <row r="219" spans="1:15" x14ac:dyDescent="0.25">
      <c r="A219" s="5" t="s">
        <v>300</v>
      </c>
      <c r="B219" s="6">
        <v>45685</v>
      </c>
      <c r="C219" t="s">
        <v>17</v>
      </c>
      <c r="D219" t="s">
        <v>41</v>
      </c>
      <c r="E219" t="s">
        <v>42</v>
      </c>
      <c r="F219" t="s">
        <v>43</v>
      </c>
      <c r="G219" t="s">
        <v>54</v>
      </c>
      <c r="H219" t="s">
        <v>55</v>
      </c>
      <c r="I219">
        <v>2</v>
      </c>
      <c r="J219" s="7">
        <v>58000</v>
      </c>
      <c r="K219" s="8">
        <v>0</v>
      </c>
      <c r="L219" s="7">
        <v>116000</v>
      </c>
      <c r="M219" s="7">
        <f>RawSalesTable[[#This Row],[Sales Amount]]-RawSalesTable[[#This Row],[Quantity]]*RawSalesTable[[#This Row],[Unit Price]]</f>
        <v>0</v>
      </c>
      <c r="N219" t="s">
        <v>23</v>
      </c>
      <c r="O219" s="9" t="s">
        <v>51</v>
      </c>
    </row>
    <row r="220" spans="1:15" x14ac:dyDescent="0.25">
      <c r="A220" s="5" t="s">
        <v>301</v>
      </c>
      <c r="B220" s="6">
        <v>45878</v>
      </c>
      <c r="C220" t="s">
        <v>46</v>
      </c>
      <c r="D220" t="s">
        <v>95</v>
      </c>
      <c r="E220" t="s">
        <v>87</v>
      </c>
      <c r="F220" t="s">
        <v>20</v>
      </c>
      <c r="G220" t="s">
        <v>21</v>
      </c>
      <c r="H220" t="s">
        <v>44</v>
      </c>
      <c r="I220">
        <v>2</v>
      </c>
      <c r="J220" s="7">
        <v>1200</v>
      </c>
      <c r="K220" s="8">
        <v>0.05</v>
      </c>
      <c r="L220" s="7">
        <v>2280</v>
      </c>
      <c r="M220" s="7">
        <f>RawSalesTable[[#This Row],[Sales Amount]]-RawSalesTable[[#This Row],[Quantity]]*RawSalesTable[[#This Row],[Unit Price]]</f>
        <v>-120</v>
      </c>
      <c r="N220" t="s">
        <v>50</v>
      </c>
      <c r="O220" s="9" t="s">
        <v>59</v>
      </c>
    </row>
    <row r="221" spans="1:15" x14ac:dyDescent="0.25">
      <c r="A221" s="5" t="s">
        <v>302</v>
      </c>
      <c r="B221" s="6">
        <v>45942</v>
      </c>
      <c r="C221" t="s">
        <v>84</v>
      </c>
      <c r="D221" t="s">
        <v>81</v>
      </c>
      <c r="E221" t="s">
        <v>72</v>
      </c>
      <c r="F221" t="s">
        <v>43</v>
      </c>
      <c r="G221" t="s">
        <v>21</v>
      </c>
      <c r="H221" t="s">
        <v>82</v>
      </c>
      <c r="I221">
        <v>2</v>
      </c>
      <c r="J221" s="7">
        <v>900</v>
      </c>
      <c r="K221" s="8">
        <v>0</v>
      </c>
      <c r="L221" s="7">
        <v>1800</v>
      </c>
      <c r="M221" s="7">
        <f>RawSalesTable[[#This Row],[Sales Amount]]-RawSalesTable[[#This Row],[Quantity]]*RawSalesTable[[#This Row],[Unit Price]]</f>
        <v>0</v>
      </c>
      <c r="N221" t="s">
        <v>23</v>
      </c>
      <c r="O221" s="9" t="s">
        <v>59</v>
      </c>
    </row>
    <row r="222" spans="1:15" x14ac:dyDescent="0.25">
      <c r="A222" s="5" t="s">
        <v>303</v>
      </c>
      <c r="B222" s="6">
        <v>45757</v>
      </c>
      <c r="C222" t="s">
        <v>61</v>
      </c>
      <c r="D222" t="s">
        <v>89</v>
      </c>
      <c r="E222" t="s">
        <v>87</v>
      </c>
      <c r="F222" t="s">
        <v>20</v>
      </c>
      <c r="G222" t="s">
        <v>21</v>
      </c>
      <c r="H222" t="s">
        <v>82</v>
      </c>
      <c r="I222">
        <v>1</v>
      </c>
      <c r="J222" s="7">
        <v>900</v>
      </c>
      <c r="K222" s="8">
        <v>0.15</v>
      </c>
      <c r="L222" s="7">
        <v>765</v>
      </c>
      <c r="M222" s="7">
        <f>RawSalesTable[[#This Row],[Sales Amount]]-RawSalesTable[[#This Row],[Quantity]]*RawSalesTable[[#This Row],[Unit Price]]</f>
        <v>-135</v>
      </c>
      <c r="N222" t="s">
        <v>38</v>
      </c>
      <c r="O222" s="9" t="s">
        <v>39</v>
      </c>
    </row>
    <row r="223" spans="1:15" x14ac:dyDescent="0.25">
      <c r="A223" s="5" t="s">
        <v>304</v>
      </c>
      <c r="B223" s="6">
        <v>45970</v>
      </c>
      <c r="C223" t="s">
        <v>84</v>
      </c>
      <c r="D223" t="s">
        <v>67</v>
      </c>
      <c r="E223" t="s">
        <v>36</v>
      </c>
      <c r="F223" t="s">
        <v>29</v>
      </c>
      <c r="G223" t="s">
        <v>30</v>
      </c>
      <c r="H223" t="s">
        <v>37</v>
      </c>
      <c r="I223">
        <v>1</v>
      </c>
      <c r="J223" s="7">
        <v>2800</v>
      </c>
      <c r="K223" s="8">
        <v>0.15</v>
      </c>
      <c r="L223" s="7">
        <v>2380</v>
      </c>
      <c r="M223" s="7">
        <f>RawSalesTable[[#This Row],[Sales Amount]]-RawSalesTable[[#This Row],[Quantity]]*RawSalesTable[[#This Row],[Unit Price]]</f>
        <v>-420</v>
      </c>
      <c r="N223" t="s">
        <v>58</v>
      </c>
      <c r="O223" s="9" t="s">
        <v>39</v>
      </c>
    </row>
    <row r="224" spans="1:15" x14ac:dyDescent="0.25">
      <c r="A224" s="5" t="s">
        <v>305</v>
      </c>
      <c r="B224" s="6">
        <v>45732</v>
      </c>
      <c r="C224" t="s">
        <v>118</v>
      </c>
      <c r="D224" t="s">
        <v>76</v>
      </c>
      <c r="E224" t="s">
        <v>42</v>
      </c>
      <c r="F224" t="s">
        <v>43</v>
      </c>
      <c r="G224" t="s">
        <v>77</v>
      </c>
      <c r="H224" t="s">
        <v>78</v>
      </c>
      <c r="I224">
        <v>2</v>
      </c>
      <c r="J224" s="7">
        <v>21000</v>
      </c>
      <c r="K224" s="8">
        <v>0.15</v>
      </c>
      <c r="L224" s="7">
        <v>35700</v>
      </c>
      <c r="M224" s="7">
        <f>RawSalesTable[[#This Row],[Sales Amount]]-RawSalesTable[[#This Row],[Quantity]]*RawSalesTable[[#This Row],[Unit Price]]</f>
        <v>-6300</v>
      </c>
      <c r="N224" t="s">
        <v>73</v>
      </c>
      <c r="O224" s="9" t="s">
        <v>51</v>
      </c>
    </row>
    <row r="225" spans="1:15" x14ac:dyDescent="0.25">
      <c r="A225" s="5" t="s">
        <v>306</v>
      </c>
      <c r="B225" s="6">
        <v>45741</v>
      </c>
      <c r="C225" t="s">
        <v>94</v>
      </c>
      <c r="D225" t="s">
        <v>47</v>
      </c>
      <c r="E225" t="s">
        <v>19</v>
      </c>
      <c r="F225" t="s">
        <v>20</v>
      </c>
      <c r="G225" t="s">
        <v>77</v>
      </c>
      <c r="H225" t="s">
        <v>78</v>
      </c>
      <c r="I225">
        <v>2</v>
      </c>
      <c r="J225" s="7">
        <v>21000</v>
      </c>
      <c r="K225" s="8">
        <v>0.15</v>
      </c>
      <c r="L225" s="7">
        <v>35700</v>
      </c>
      <c r="M225" s="7">
        <f>RawSalesTable[[#This Row],[Sales Amount]]-RawSalesTable[[#This Row],[Quantity]]*RawSalesTable[[#This Row],[Unit Price]]</f>
        <v>-6300</v>
      </c>
      <c r="N225" t="s">
        <v>38</v>
      </c>
      <c r="O225" s="9" t="s">
        <v>32</v>
      </c>
    </row>
    <row r="226" spans="1:15" x14ac:dyDescent="0.25">
      <c r="A226" s="5" t="s">
        <v>307</v>
      </c>
      <c r="B226" s="6">
        <v>45664</v>
      </c>
      <c r="C226" t="s">
        <v>17</v>
      </c>
      <c r="D226" t="s">
        <v>138</v>
      </c>
      <c r="E226" t="s">
        <v>28</v>
      </c>
      <c r="F226" t="s">
        <v>29</v>
      </c>
      <c r="G226" t="s">
        <v>77</v>
      </c>
      <c r="H226" t="s">
        <v>99</v>
      </c>
      <c r="I226">
        <v>4</v>
      </c>
      <c r="J226" s="7">
        <v>24000</v>
      </c>
      <c r="K226" s="8">
        <v>0.15</v>
      </c>
      <c r="L226" s="7">
        <v>81600</v>
      </c>
      <c r="M226" s="7">
        <f>RawSalesTable[[#This Row],[Sales Amount]]-RawSalesTable[[#This Row],[Quantity]]*RawSalesTable[[#This Row],[Unit Price]]</f>
        <v>-14400</v>
      </c>
      <c r="N226" t="s">
        <v>23</v>
      </c>
      <c r="O226" s="9" t="s">
        <v>59</v>
      </c>
    </row>
    <row r="227" spans="1:15" x14ac:dyDescent="0.25">
      <c r="A227" s="5" t="s">
        <v>308</v>
      </c>
      <c r="B227" s="6">
        <v>45875</v>
      </c>
      <c r="C227" t="s">
        <v>118</v>
      </c>
      <c r="D227" t="s">
        <v>104</v>
      </c>
      <c r="E227" t="s">
        <v>19</v>
      </c>
      <c r="F227" t="s">
        <v>20</v>
      </c>
      <c r="G227" t="s">
        <v>54</v>
      </c>
      <c r="H227" t="s">
        <v>63</v>
      </c>
      <c r="I227">
        <v>1</v>
      </c>
      <c r="J227" s="7">
        <v>61000</v>
      </c>
      <c r="K227" s="8">
        <v>0.15</v>
      </c>
      <c r="L227" s="7">
        <v>51850</v>
      </c>
      <c r="M227" s="7">
        <f>RawSalesTable[[#This Row],[Sales Amount]]-RawSalesTable[[#This Row],[Quantity]]*RawSalesTable[[#This Row],[Unit Price]]</f>
        <v>-9150</v>
      </c>
      <c r="N227" t="s">
        <v>50</v>
      </c>
      <c r="O227" s="9" t="s">
        <v>74</v>
      </c>
    </row>
    <row r="228" spans="1:15" x14ac:dyDescent="0.25">
      <c r="A228" s="5" t="s">
        <v>309</v>
      </c>
      <c r="B228" s="6">
        <v>45756</v>
      </c>
      <c r="C228" t="s">
        <v>61</v>
      </c>
      <c r="D228" t="s">
        <v>27</v>
      </c>
      <c r="E228" t="s">
        <v>28</v>
      </c>
      <c r="F228" t="s">
        <v>29</v>
      </c>
      <c r="G228" t="s">
        <v>21</v>
      </c>
      <c r="H228" t="s">
        <v>82</v>
      </c>
      <c r="I228">
        <v>3</v>
      </c>
      <c r="J228" s="7">
        <v>900</v>
      </c>
      <c r="K228" s="8">
        <v>0</v>
      </c>
      <c r="L228" s="7">
        <v>2700</v>
      </c>
      <c r="M228" s="7">
        <f>RawSalesTable[[#This Row],[Sales Amount]]-RawSalesTable[[#This Row],[Quantity]]*RawSalesTable[[#This Row],[Unit Price]]</f>
        <v>0</v>
      </c>
      <c r="N228" t="s">
        <v>38</v>
      </c>
      <c r="O228" s="9" t="s">
        <v>97</v>
      </c>
    </row>
    <row r="229" spans="1:15" x14ac:dyDescent="0.25">
      <c r="A229" s="5" t="s">
        <v>310</v>
      </c>
      <c r="B229" s="6">
        <v>45945</v>
      </c>
      <c r="C229" t="s">
        <v>53</v>
      </c>
      <c r="D229" t="s">
        <v>110</v>
      </c>
      <c r="E229" t="s">
        <v>72</v>
      </c>
      <c r="F229" t="s">
        <v>43</v>
      </c>
      <c r="G229" t="s">
        <v>77</v>
      </c>
      <c r="H229" t="s">
        <v>111</v>
      </c>
      <c r="I229">
        <v>2</v>
      </c>
      <c r="J229" s="7">
        <v>29000</v>
      </c>
      <c r="K229" s="8">
        <v>0.1</v>
      </c>
      <c r="L229" s="7">
        <v>52200</v>
      </c>
      <c r="M229" s="7">
        <f>RawSalesTable[[#This Row],[Sales Amount]]-RawSalesTable[[#This Row],[Quantity]]*RawSalesTable[[#This Row],[Unit Price]]</f>
        <v>-5800</v>
      </c>
      <c r="N229" t="s">
        <v>73</v>
      </c>
      <c r="O229" s="9" t="s">
        <v>32</v>
      </c>
    </row>
    <row r="230" spans="1:15" x14ac:dyDescent="0.25">
      <c r="A230" s="5" t="s">
        <v>311</v>
      </c>
      <c r="B230" s="6">
        <v>45679</v>
      </c>
      <c r="C230" t="s">
        <v>46</v>
      </c>
      <c r="D230" t="s">
        <v>138</v>
      </c>
      <c r="E230" t="s">
        <v>28</v>
      </c>
      <c r="F230" t="s">
        <v>29</v>
      </c>
      <c r="G230" t="s">
        <v>21</v>
      </c>
      <c r="H230" t="s">
        <v>82</v>
      </c>
      <c r="I230">
        <v>2</v>
      </c>
      <c r="J230" s="7">
        <v>900</v>
      </c>
      <c r="K230" s="8">
        <v>0</v>
      </c>
      <c r="L230" s="7">
        <v>1800</v>
      </c>
      <c r="M230" s="7">
        <f>RawSalesTable[[#This Row],[Sales Amount]]-RawSalesTable[[#This Row],[Quantity]]*RawSalesTable[[#This Row],[Unit Price]]</f>
        <v>0</v>
      </c>
      <c r="N230" t="s">
        <v>50</v>
      </c>
      <c r="O230" s="9" t="s">
        <v>51</v>
      </c>
    </row>
    <row r="231" spans="1:15" x14ac:dyDescent="0.25">
      <c r="A231" s="5" t="s">
        <v>312</v>
      </c>
      <c r="B231" s="6">
        <v>45877</v>
      </c>
      <c r="C231" t="s">
        <v>34</v>
      </c>
      <c r="D231" t="s">
        <v>47</v>
      </c>
      <c r="E231" t="s">
        <v>19</v>
      </c>
      <c r="F231" t="s">
        <v>20</v>
      </c>
      <c r="G231" t="s">
        <v>21</v>
      </c>
      <c r="H231" t="s">
        <v>82</v>
      </c>
      <c r="I231">
        <v>3</v>
      </c>
      <c r="J231" s="7">
        <v>900</v>
      </c>
      <c r="K231" s="8">
        <v>0.05</v>
      </c>
      <c r="L231" s="7">
        <v>2565</v>
      </c>
      <c r="M231" s="7">
        <f>RawSalesTable[[#This Row],[Sales Amount]]-RawSalesTable[[#This Row],[Quantity]]*RawSalesTable[[#This Row],[Unit Price]]</f>
        <v>-135</v>
      </c>
      <c r="N231" t="s">
        <v>23</v>
      </c>
      <c r="O231" s="9" t="s">
        <v>59</v>
      </c>
    </row>
    <row r="232" spans="1:15" x14ac:dyDescent="0.25">
      <c r="A232" s="5" t="s">
        <v>313</v>
      </c>
      <c r="B232" s="6">
        <v>45849</v>
      </c>
      <c r="C232" t="s">
        <v>34</v>
      </c>
      <c r="D232" t="s">
        <v>35</v>
      </c>
      <c r="E232" t="s">
        <v>36</v>
      </c>
      <c r="F232" t="s">
        <v>29</v>
      </c>
      <c r="G232" t="s">
        <v>77</v>
      </c>
      <c r="H232" t="s">
        <v>78</v>
      </c>
      <c r="I232">
        <v>4</v>
      </c>
      <c r="J232" s="7">
        <v>21000</v>
      </c>
      <c r="K232" s="8">
        <v>0</v>
      </c>
      <c r="L232" s="7">
        <v>84000</v>
      </c>
      <c r="M232" s="7">
        <f>RawSalesTable[[#This Row],[Sales Amount]]-RawSalesTable[[#This Row],[Quantity]]*RawSalesTable[[#This Row],[Unit Price]]</f>
        <v>0</v>
      </c>
      <c r="N232" t="s">
        <v>38</v>
      </c>
      <c r="O232" s="9" t="s">
        <v>39</v>
      </c>
    </row>
    <row r="233" spans="1:15" x14ac:dyDescent="0.25">
      <c r="A233" s="5" t="s">
        <v>314</v>
      </c>
      <c r="B233" s="6">
        <v>45822</v>
      </c>
      <c r="C233" t="s">
        <v>70</v>
      </c>
      <c r="D233" t="s">
        <v>138</v>
      </c>
      <c r="E233" t="s">
        <v>28</v>
      </c>
      <c r="F233" t="s">
        <v>29</v>
      </c>
      <c r="G233" t="s">
        <v>21</v>
      </c>
      <c r="H233" t="s">
        <v>82</v>
      </c>
      <c r="I233">
        <v>3</v>
      </c>
      <c r="J233" s="7">
        <v>900</v>
      </c>
      <c r="K233" s="8">
        <v>0.15</v>
      </c>
      <c r="L233" s="7">
        <v>2295</v>
      </c>
      <c r="M233" s="7">
        <f>RawSalesTable[[#This Row],[Sales Amount]]-RawSalesTable[[#This Row],[Quantity]]*RawSalesTable[[#This Row],[Unit Price]]</f>
        <v>-405</v>
      </c>
      <c r="N233" t="s">
        <v>50</v>
      </c>
      <c r="O233" s="9" t="s">
        <v>59</v>
      </c>
    </row>
    <row r="234" spans="1:15" x14ac:dyDescent="0.25">
      <c r="A234" s="5" t="s">
        <v>315</v>
      </c>
      <c r="B234" s="6">
        <v>45722</v>
      </c>
      <c r="C234" t="s">
        <v>94</v>
      </c>
      <c r="D234" t="s">
        <v>92</v>
      </c>
      <c r="E234" t="s">
        <v>42</v>
      </c>
      <c r="F234" t="s">
        <v>43</v>
      </c>
      <c r="G234" t="s">
        <v>54</v>
      </c>
      <c r="H234" t="s">
        <v>63</v>
      </c>
      <c r="I234">
        <v>4</v>
      </c>
      <c r="J234" s="7">
        <v>61000</v>
      </c>
      <c r="K234" s="8">
        <v>0.1</v>
      </c>
      <c r="L234" s="7">
        <v>219600</v>
      </c>
      <c r="M234" s="7">
        <f>RawSalesTable[[#This Row],[Sales Amount]]-RawSalesTable[[#This Row],[Quantity]]*RawSalesTable[[#This Row],[Unit Price]]</f>
        <v>-24400</v>
      </c>
      <c r="N234" t="s">
        <v>23</v>
      </c>
      <c r="O234" s="9" t="s">
        <v>32</v>
      </c>
    </row>
    <row r="235" spans="1:15" x14ac:dyDescent="0.25">
      <c r="A235" s="5" t="s">
        <v>316</v>
      </c>
      <c r="B235" s="6">
        <v>45978</v>
      </c>
      <c r="C235" t="s">
        <v>26</v>
      </c>
      <c r="D235" t="s">
        <v>47</v>
      </c>
      <c r="E235" t="s">
        <v>19</v>
      </c>
      <c r="F235" t="s">
        <v>20</v>
      </c>
      <c r="G235" t="s">
        <v>48</v>
      </c>
      <c r="H235" t="s">
        <v>90</v>
      </c>
      <c r="I235">
        <v>3</v>
      </c>
      <c r="J235" s="7">
        <v>14500</v>
      </c>
      <c r="K235" s="8">
        <v>0</v>
      </c>
      <c r="L235" s="7">
        <v>43500</v>
      </c>
      <c r="M235" s="7">
        <f>RawSalesTable[[#This Row],[Sales Amount]]-RawSalesTable[[#This Row],[Quantity]]*RawSalesTable[[#This Row],[Unit Price]]</f>
        <v>0</v>
      </c>
      <c r="N235" t="s">
        <v>38</v>
      </c>
      <c r="O235" s="9" t="s">
        <v>24</v>
      </c>
    </row>
    <row r="236" spans="1:15" x14ac:dyDescent="0.25">
      <c r="A236" s="5" t="s">
        <v>317</v>
      </c>
      <c r="B236" s="6">
        <v>45847</v>
      </c>
      <c r="C236" t="s">
        <v>61</v>
      </c>
      <c r="D236" t="s">
        <v>62</v>
      </c>
      <c r="E236" t="s">
        <v>28</v>
      </c>
      <c r="F236" t="s">
        <v>29</v>
      </c>
      <c r="G236" t="s">
        <v>30</v>
      </c>
      <c r="H236" t="s">
        <v>31</v>
      </c>
      <c r="I236">
        <v>3</v>
      </c>
      <c r="J236" s="7">
        <v>3200</v>
      </c>
      <c r="K236" s="8">
        <v>0</v>
      </c>
      <c r="L236" s="7">
        <v>9600</v>
      </c>
      <c r="M236" s="7">
        <f>RawSalesTable[[#This Row],[Sales Amount]]-RawSalesTable[[#This Row],[Quantity]]*RawSalesTable[[#This Row],[Unit Price]]</f>
        <v>0</v>
      </c>
      <c r="N236" t="s">
        <v>23</v>
      </c>
      <c r="O236" s="9" t="s">
        <v>39</v>
      </c>
    </row>
    <row r="237" spans="1:15" x14ac:dyDescent="0.25">
      <c r="A237" s="5" t="s">
        <v>318</v>
      </c>
      <c r="B237" s="6">
        <v>45949</v>
      </c>
      <c r="C237" t="s">
        <v>61</v>
      </c>
      <c r="D237" t="s">
        <v>27</v>
      </c>
      <c r="E237" t="s">
        <v>28</v>
      </c>
      <c r="F237" t="s">
        <v>29</v>
      </c>
      <c r="G237" t="s">
        <v>48</v>
      </c>
      <c r="H237" t="s">
        <v>105</v>
      </c>
      <c r="I237">
        <v>2</v>
      </c>
      <c r="J237" s="7">
        <v>21000</v>
      </c>
      <c r="K237" s="8">
        <v>0.15</v>
      </c>
      <c r="L237" s="7">
        <v>35700</v>
      </c>
      <c r="M237" s="7">
        <f>RawSalesTable[[#This Row],[Sales Amount]]-RawSalesTable[[#This Row],[Quantity]]*RawSalesTable[[#This Row],[Unit Price]]</f>
        <v>-6300</v>
      </c>
      <c r="N237" t="s">
        <v>58</v>
      </c>
      <c r="O237" s="9" t="s">
        <v>97</v>
      </c>
    </row>
    <row r="238" spans="1:15" x14ac:dyDescent="0.25">
      <c r="A238" s="5" t="s">
        <v>319</v>
      </c>
      <c r="B238" s="6">
        <v>45968</v>
      </c>
      <c r="C238" t="s">
        <v>61</v>
      </c>
      <c r="D238" t="s">
        <v>27</v>
      </c>
      <c r="E238" t="s">
        <v>28</v>
      </c>
      <c r="F238" t="s">
        <v>29</v>
      </c>
      <c r="G238" t="s">
        <v>21</v>
      </c>
      <c r="H238" t="s">
        <v>44</v>
      </c>
      <c r="I238">
        <v>1</v>
      </c>
      <c r="J238" s="7">
        <v>1200</v>
      </c>
      <c r="K238" s="8">
        <v>0.1</v>
      </c>
      <c r="L238" s="7">
        <v>1080</v>
      </c>
      <c r="M238" s="7">
        <f>RawSalesTable[[#This Row],[Sales Amount]]-RawSalesTable[[#This Row],[Quantity]]*RawSalesTable[[#This Row],[Unit Price]]</f>
        <v>-120</v>
      </c>
      <c r="N238" t="s">
        <v>50</v>
      </c>
      <c r="O238" s="9" t="s">
        <v>74</v>
      </c>
    </row>
    <row r="239" spans="1:15" x14ac:dyDescent="0.25">
      <c r="A239" s="5" t="s">
        <v>320</v>
      </c>
      <c r="B239" s="6">
        <v>45966</v>
      </c>
      <c r="C239" t="s">
        <v>53</v>
      </c>
      <c r="D239" t="s">
        <v>62</v>
      </c>
      <c r="E239" t="s">
        <v>28</v>
      </c>
      <c r="F239" t="s">
        <v>29</v>
      </c>
      <c r="G239" t="s">
        <v>54</v>
      </c>
      <c r="H239" t="s">
        <v>68</v>
      </c>
      <c r="I239">
        <v>1</v>
      </c>
      <c r="J239" s="7">
        <v>52000</v>
      </c>
      <c r="K239" s="8">
        <v>0.15</v>
      </c>
      <c r="L239" s="7">
        <v>44200</v>
      </c>
      <c r="M239" s="7">
        <f>RawSalesTable[[#This Row],[Sales Amount]]-RawSalesTable[[#This Row],[Quantity]]*RawSalesTable[[#This Row],[Unit Price]]</f>
        <v>-7800</v>
      </c>
      <c r="N239" t="s">
        <v>50</v>
      </c>
      <c r="O239" s="9" t="s">
        <v>32</v>
      </c>
    </row>
    <row r="240" spans="1:15" x14ac:dyDescent="0.25">
      <c r="A240" s="5" t="s">
        <v>321</v>
      </c>
      <c r="B240" s="6">
        <v>45866</v>
      </c>
      <c r="C240" t="s">
        <v>84</v>
      </c>
      <c r="D240" t="s">
        <v>138</v>
      </c>
      <c r="E240" t="s">
        <v>28</v>
      </c>
      <c r="F240" t="s">
        <v>29</v>
      </c>
      <c r="G240" t="s">
        <v>77</v>
      </c>
      <c r="H240" t="s">
        <v>99</v>
      </c>
      <c r="I240">
        <v>2</v>
      </c>
      <c r="J240" s="7">
        <v>24000</v>
      </c>
      <c r="K240" s="8">
        <v>0.05</v>
      </c>
      <c r="L240" s="7">
        <v>45600</v>
      </c>
      <c r="M240" s="7">
        <f>RawSalesTable[[#This Row],[Sales Amount]]-RawSalesTable[[#This Row],[Quantity]]*RawSalesTable[[#This Row],[Unit Price]]</f>
        <v>-2400</v>
      </c>
      <c r="N240" t="s">
        <v>50</v>
      </c>
      <c r="O240" s="9" t="s">
        <v>59</v>
      </c>
    </row>
    <row r="241" spans="1:15" x14ac:dyDescent="0.25">
      <c r="A241" s="5" t="s">
        <v>322</v>
      </c>
      <c r="B241" s="6">
        <v>46010</v>
      </c>
      <c r="C241" t="s">
        <v>70</v>
      </c>
      <c r="D241" t="s">
        <v>92</v>
      </c>
      <c r="E241" t="s">
        <v>42</v>
      </c>
      <c r="F241" t="s">
        <v>43</v>
      </c>
      <c r="G241" t="s">
        <v>77</v>
      </c>
      <c r="H241" t="s">
        <v>111</v>
      </c>
      <c r="I241">
        <v>1</v>
      </c>
      <c r="J241" s="7">
        <v>29000</v>
      </c>
      <c r="K241" s="8">
        <v>0.05</v>
      </c>
      <c r="L241" s="7">
        <v>27550</v>
      </c>
      <c r="M241" s="7">
        <f>RawSalesTable[[#This Row],[Sales Amount]]-RawSalesTable[[#This Row],[Quantity]]*RawSalesTable[[#This Row],[Unit Price]]</f>
        <v>-1450</v>
      </c>
      <c r="N241" t="s">
        <v>50</v>
      </c>
      <c r="O241" s="9" t="s">
        <v>32</v>
      </c>
    </row>
    <row r="242" spans="1:15" x14ac:dyDescent="0.25">
      <c r="A242" s="5" t="s">
        <v>323</v>
      </c>
      <c r="B242" s="6">
        <v>45818</v>
      </c>
      <c r="C242" t="s">
        <v>70</v>
      </c>
      <c r="D242" t="s">
        <v>47</v>
      </c>
      <c r="E242" t="s">
        <v>19</v>
      </c>
      <c r="F242" t="s">
        <v>20</v>
      </c>
      <c r="G242" t="s">
        <v>21</v>
      </c>
      <c r="H242" t="s">
        <v>82</v>
      </c>
      <c r="I242">
        <v>4</v>
      </c>
      <c r="J242" s="7">
        <v>900</v>
      </c>
      <c r="K242" s="8">
        <v>0</v>
      </c>
      <c r="L242" s="7">
        <v>3600</v>
      </c>
      <c r="M242" s="7">
        <f>RawSalesTable[[#This Row],[Sales Amount]]-RawSalesTable[[#This Row],[Quantity]]*RawSalesTable[[#This Row],[Unit Price]]</f>
        <v>0</v>
      </c>
      <c r="N242" t="s">
        <v>58</v>
      </c>
      <c r="O242" s="9" t="s">
        <v>51</v>
      </c>
    </row>
    <row r="243" spans="1:15" x14ac:dyDescent="0.25">
      <c r="A243" s="5" t="s">
        <v>324</v>
      </c>
      <c r="B243" s="6">
        <v>45667</v>
      </c>
      <c r="C243" t="s">
        <v>84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>
        <v>2</v>
      </c>
      <c r="J243" s="7">
        <v>1500</v>
      </c>
      <c r="K243" s="8">
        <v>0.05</v>
      </c>
      <c r="L243" s="7">
        <v>2850</v>
      </c>
      <c r="M243" s="7">
        <f>RawSalesTable[[#This Row],[Sales Amount]]-RawSalesTable[[#This Row],[Quantity]]*RawSalesTable[[#This Row],[Unit Price]]</f>
        <v>-150</v>
      </c>
      <c r="N243" t="s">
        <v>23</v>
      </c>
      <c r="O243" s="9" t="s">
        <v>32</v>
      </c>
    </row>
    <row r="244" spans="1:15" x14ac:dyDescent="0.25">
      <c r="A244" s="5" t="s">
        <v>325</v>
      </c>
      <c r="B244" s="6">
        <v>45906</v>
      </c>
      <c r="C244" t="s">
        <v>26</v>
      </c>
      <c r="D244" t="s">
        <v>62</v>
      </c>
      <c r="E244" t="s">
        <v>28</v>
      </c>
      <c r="F244" t="s">
        <v>29</v>
      </c>
      <c r="G244" t="s">
        <v>21</v>
      </c>
      <c r="H244" t="s">
        <v>22</v>
      </c>
      <c r="I244">
        <v>3</v>
      </c>
      <c r="J244" s="7">
        <v>1500</v>
      </c>
      <c r="K244" s="8">
        <v>0</v>
      </c>
      <c r="L244" s="7">
        <v>4500</v>
      </c>
      <c r="M244" s="7">
        <f>RawSalesTable[[#This Row],[Sales Amount]]-RawSalesTable[[#This Row],[Quantity]]*RawSalesTable[[#This Row],[Unit Price]]</f>
        <v>0</v>
      </c>
      <c r="N244" t="s">
        <v>50</v>
      </c>
      <c r="O244" s="9" t="s">
        <v>39</v>
      </c>
    </row>
    <row r="245" spans="1:15" x14ac:dyDescent="0.25">
      <c r="A245" s="5" t="s">
        <v>326</v>
      </c>
      <c r="B245" s="6">
        <v>45967</v>
      </c>
      <c r="C245" t="s">
        <v>34</v>
      </c>
      <c r="D245" t="s">
        <v>89</v>
      </c>
      <c r="E245" t="s">
        <v>87</v>
      </c>
      <c r="F245" t="s">
        <v>20</v>
      </c>
      <c r="G245" t="s">
        <v>21</v>
      </c>
      <c r="H245" t="s">
        <v>82</v>
      </c>
      <c r="I245">
        <v>3</v>
      </c>
      <c r="J245" s="7">
        <v>900</v>
      </c>
      <c r="K245" s="8">
        <v>0</v>
      </c>
      <c r="L245" s="7">
        <v>2700</v>
      </c>
      <c r="M245" s="7">
        <f>RawSalesTable[[#This Row],[Sales Amount]]-RawSalesTable[[#This Row],[Quantity]]*RawSalesTable[[#This Row],[Unit Price]]</f>
        <v>0</v>
      </c>
      <c r="N245" t="s">
        <v>38</v>
      </c>
      <c r="O245" s="9" t="s">
        <v>59</v>
      </c>
    </row>
    <row r="246" spans="1:15" x14ac:dyDescent="0.25">
      <c r="A246" s="5" t="s">
        <v>327</v>
      </c>
      <c r="B246" s="6">
        <v>45694</v>
      </c>
      <c r="C246" t="s">
        <v>61</v>
      </c>
      <c r="D246" t="s">
        <v>35</v>
      </c>
      <c r="E246" t="s">
        <v>36</v>
      </c>
      <c r="F246" t="s">
        <v>29</v>
      </c>
      <c r="G246" t="s">
        <v>21</v>
      </c>
      <c r="H246" t="s">
        <v>22</v>
      </c>
      <c r="I246">
        <v>3</v>
      </c>
      <c r="J246" s="7">
        <v>1500</v>
      </c>
      <c r="K246" s="8">
        <v>0.05</v>
      </c>
      <c r="L246" s="7">
        <v>4275</v>
      </c>
      <c r="M246" s="7">
        <f>RawSalesTable[[#This Row],[Sales Amount]]-RawSalesTable[[#This Row],[Quantity]]*RawSalesTable[[#This Row],[Unit Price]]</f>
        <v>-225</v>
      </c>
      <c r="N246" t="s">
        <v>73</v>
      </c>
      <c r="O246" s="9" t="s">
        <v>79</v>
      </c>
    </row>
    <row r="247" spans="1:15" x14ac:dyDescent="0.25">
      <c r="A247" s="5" t="s">
        <v>328</v>
      </c>
      <c r="B247" s="6">
        <v>45839</v>
      </c>
      <c r="C247" t="s">
        <v>17</v>
      </c>
      <c r="D247" t="s">
        <v>95</v>
      </c>
      <c r="E247" t="s">
        <v>87</v>
      </c>
      <c r="F247" t="s">
        <v>20</v>
      </c>
      <c r="G247" t="s">
        <v>21</v>
      </c>
      <c r="H247" t="s">
        <v>44</v>
      </c>
      <c r="I247">
        <v>3</v>
      </c>
      <c r="J247" s="7">
        <v>1200</v>
      </c>
      <c r="K247" s="8">
        <v>0</v>
      </c>
      <c r="L247" s="7">
        <v>3600</v>
      </c>
      <c r="M247" s="7">
        <f>RawSalesTable[[#This Row],[Sales Amount]]-RawSalesTable[[#This Row],[Quantity]]*RawSalesTable[[#This Row],[Unit Price]]</f>
        <v>0</v>
      </c>
      <c r="N247" t="s">
        <v>50</v>
      </c>
      <c r="O247" s="9" t="s">
        <v>24</v>
      </c>
    </row>
    <row r="248" spans="1:15" x14ac:dyDescent="0.25">
      <c r="A248" s="5" t="s">
        <v>329</v>
      </c>
      <c r="B248" s="6">
        <v>45841</v>
      </c>
      <c r="C248" t="s">
        <v>26</v>
      </c>
      <c r="D248" t="s">
        <v>41</v>
      </c>
      <c r="E248" t="s">
        <v>42</v>
      </c>
      <c r="F248" t="s">
        <v>43</v>
      </c>
      <c r="G248" t="s">
        <v>54</v>
      </c>
      <c r="H248" t="s">
        <v>63</v>
      </c>
      <c r="I248">
        <v>1</v>
      </c>
      <c r="J248" s="7">
        <v>61000</v>
      </c>
      <c r="K248" s="8">
        <v>0.1</v>
      </c>
      <c r="L248" s="7">
        <v>54900</v>
      </c>
      <c r="M248" s="7">
        <f>RawSalesTable[[#This Row],[Sales Amount]]-RawSalesTable[[#This Row],[Quantity]]*RawSalesTable[[#This Row],[Unit Price]]</f>
        <v>-6100</v>
      </c>
      <c r="N248" t="s">
        <v>50</v>
      </c>
      <c r="O248" s="9" t="s">
        <v>32</v>
      </c>
    </row>
    <row r="249" spans="1:15" x14ac:dyDescent="0.25">
      <c r="A249" s="5" t="s">
        <v>330</v>
      </c>
      <c r="B249" s="6">
        <v>45907</v>
      </c>
      <c r="C249" t="s">
        <v>34</v>
      </c>
      <c r="D249" t="s">
        <v>92</v>
      </c>
      <c r="E249" t="s">
        <v>42</v>
      </c>
      <c r="F249" t="s">
        <v>43</v>
      </c>
      <c r="G249" t="s">
        <v>77</v>
      </c>
      <c r="H249" t="s">
        <v>78</v>
      </c>
      <c r="I249">
        <v>3</v>
      </c>
      <c r="J249" s="7">
        <v>21000</v>
      </c>
      <c r="K249" s="8">
        <v>0.05</v>
      </c>
      <c r="L249" s="7">
        <v>59850</v>
      </c>
      <c r="M249" s="7">
        <f>RawSalesTable[[#This Row],[Sales Amount]]-RawSalesTable[[#This Row],[Quantity]]*RawSalesTable[[#This Row],[Unit Price]]</f>
        <v>-3150</v>
      </c>
      <c r="N249" t="s">
        <v>73</v>
      </c>
      <c r="O249" s="9" t="s">
        <v>32</v>
      </c>
    </row>
    <row r="250" spans="1:15" x14ac:dyDescent="0.25">
      <c r="A250" s="5" t="s">
        <v>331</v>
      </c>
      <c r="B250" s="6">
        <v>45759</v>
      </c>
      <c r="C250" t="s">
        <v>26</v>
      </c>
      <c r="D250" t="s">
        <v>62</v>
      </c>
      <c r="E250" t="s">
        <v>28</v>
      </c>
      <c r="F250" t="s">
        <v>29</v>
      </c>
      <c r="G250" t="s">
        <v>48</v>
      </c>
      <c r="H250" t="s">
        <v>90</v>
      </c>
      <c r="I250">
        <v>1</v>
      </c>
      <c r="J250" s="7">
        <v>14500</v>
      </c>
      <c r="K250" s="8">
        <v>0.05</v>
      </c>
      <c r="L250" s="7">
        <v>13775</v>
      </c>
      <c r="M250" s="7">
        <f>RawSalesTable[[#This Row],[Sales Amount]]-RawSalesTable[[#This Row],[Quantity]]*RawSalesTable[[#This Row],[Unit Price]]</f>
        <v>-725</v>
      </c>
      <c r="N250" t="s">
        <v>38</v>
      </c>
      <c r="O250" s="9" t="s">
        <v>74</v>
      </c>
    </row>
    <row r="251" spans="1:15" x14ac:dyDescent="0.25">
      <c r="A251" s="5" t="s">
        <v>332</v>
      </c>
      <c r="B251" s="6">
        <v>45791</v>
      </c>
      <c r="C251" t="s">
        <v>34</v>
      </c>
      <c r="D251" t="s">
        <v>76</v>
      </c>
      <c r="E251" t="s">
        <v>42</v>
      </c>
      <c r="F251" t="s">
        <v>43</v>
      </c>
      <c r="G251" t="s">
        <v>48</v>
      </c>
      <c r="H251" t="s">
        <v>105</v>
      </c>
      <c r="I251">
        <v>4</v>
      </c>
      <c r="J251" s="7">
        <v>21000</v>
      </c>
      <c r="K251" s="8">
        <v>0.15</v>
      </c>
      <c r="L251" s="7">
        <v>71400</v>
      </c>
      <c r="M251" s="7">
        <f>RawSalesTable[[#This Row],[Sales Amount]]-RawSalesTable[[#This Row],[Quantity]]*RawSalesTable[[#This Row],[Unit Price]]</f>
        <v>-12600</v>
      </c>
      <c r="N251" t="s">
        <v>73</v>
      </c>
      <c r="O251" s="9" t="s">
        <v>51</v>
      </c>
    </row>
    <row r="252" spans="1:15" x14ac:dyDescent="0.25">
      <c r="A252" s="5" t="s">
        <v>333</v>
      </c>
      <c r="B252" s="6">
        <v>45964</v>
      </c>
      <c r="C252" t="s">
        <v>84</v>
      </c>
      <c r="D252" t="s">
        <v>62</v>
      </c>
      <c r="E252" t="s">
        <v>28</v>
      </c>
      <c r="F252" t="s">
        <v>29</v>
      </c>
      <c r="G252" t="s">
        <v>21</v>
      </c>
      <c r="H252" t="s">
        <v>82</v>
      </c>
      <c r="I252">
        <v>1</v>
      </c>
      <c r="J252" s="7">
        <v>900</v>
      </c>
      <c r="K252" s="8">
        <v>0</v>
      </c>
      <c r="L252" s="7">
        <v>900</v>
      </c>
      <c r="M252" s="7">
        <f>RawSalesTable[[#This Row],[Sales Amount]]-RawSalesTable[[#This Row],[Quantity]]*RawSalesTable[[#This Row],[Unit Price]]</f>
        <v>0</v>
      </c>
      <c r="N252" t="s">
        <v>73</v>
      </c>
      <c r="O252" s="9" t="s">
        <v>79</v>
      </c>
    </row>
    <row r="253" spans="1:15" x14ac:dyDescent="0.25">
      <c r="A253" s="5" t="s">
        <v>334</v>
      </c>
      <c r="B253" s="6">
        <v>45778</v>
      </c>
      <c r="C253" t="s">
        <v>26</v>
      </c>
      <c r="D253" t="s">
        <v>92</v>
      </c>
      <c r="E253" t="s">
        <v>42</v>
      </c>
      <c r="F253" t="s">
        <v>43</v>
      </c>
      <c r="G253" t="s">
        <v>48</v>
      </c>
      <c r="H253" t="s">
        <v>105</v>
      </c>
      <c r="I253">
        <v>2</v>
      </c>
      <c r="J253" s="7">
        <v>21000</v>
      </c>
      <c r="K253" s="8">
        <v>0</v>
      </c>
      <c r="L253" s="7">
        <v>42000</v>
      </c>
      <c r="M253" s="7">
        <f>RawSalesTable[[#This Row],[Sales Amount]]-RawSalesTable[[#This Row],[Quantity]]*RawSalesTable[[#This Row],[Unit Price]]</f>
        <v>0</v>
      </c>
      <c r="N253" t="s">
        <v>23</v>
      </c>
      <c r="O253" s="9" t="s">
        <v>79</v>
      </c>
    </row>
    <row r="254" spans="1:15" x14ac:dyDescent="0.25">
      <c r="A254" s="5" t="s">
        <v>335</v>
      </c>
      <c r="B254" s="6">
        <v>45744</v>
      </c>
      <c r="C254" t="s">
        <v>84</v>
      </c>
      <c r="D254" t="s">
        <v>35</v>
      </c>
      <c r="E254" t="s">
        <v>36</v>
      </c>
      <c r="F254" t="s">
        <v>29</v>
      </c>
      <c r="G254" t="s">
        <v>77</v>
      </c>
      <c r="H254" t="s">
        <v>99</v>
      </c>
      <c r="I254">
        <v>1</v>
      </c>
      <c r="J254" s="7">
        <v>24000</v>
      </c>
      <c r="K254" s="8">
        <v>0</v>
      </c>
      <c r="L254" s="7">
        <v>24000</v>
      </c>
      <c r="M254" s="7">
        <f>RawSalesTable[[#This Row],[Sales Amount]]-RawSalesTable[[#This Row],[Quantity]]*RawSalesTable[[#This Row],[Unit Price]]</f>
        <v>0</v>
      </c>
      <c r="N254" t="s">
        <v>23</v>
      </c>
      <c r="O254" s="9" t="s">
        <v>97</v>
      </c>
    </row>
    <row r="255" spans="1:15" x14ac:dyDescent="0.25">
      <c r="A255" s="5" t="s">
        <v>336</v>
      </c>
      <c r="B255" s="6">
        <v>45718</v>
      </c>
      <c r="C255" t="s">
        <v>53</v>
      </c>
      <c r="D255" t="s">
        <v>35</v>
      </c>
      <c r="E255" t="s">
        <v>36</v>
      </c>
      <c r="F255" t="s">
        <v>29</v>
      </c>
      <c r="G255" t="s">
        <v>30</v>
      </c>
      <c r="H255" t="s">
        <v>57</v>
      </c>
      <c r="I255">
        <v>1</v>
      </c>
      <c r="J255" s="7">
        <v>4500</v>
      </c>
      <c r="K255" s="8">
        <v>0.15</v>
      </c>
      <c r="L255" s="7">
        <v>3825</v>
      </c>
      <c r="M255" s="7">
        <f>RawSalesTable[[#This Row],[Sales Amount]]-RawSalesTable[[#This Row],[Quantity]]*RawSalesTable[[#This Row],[Unit Price]]</f>
        <v>-675</v>
      </c>
      <c r="N255" t="s">
        <v>58</v>
      </c>
      <c r="O255" s="9" t="s">
        <v>79</v>
      </c>
    </row>
    <row r="256" spans="1:15" x14ac:dyDescent="0.25">
      <c r="A256" s="5" t="s">
        <v>337</v>
      </c>
      <c r="B256" s="6">
        <v>45720</v>
      </c>
      <c r="C256" t="s">
        <v>34</v>
      </c>
      <c r="D256" t="s">
        <v>104</v>
      </c>
      <c r="E256" t="s">
        <v>19</v>
      </c>
      <c r="F256" t="s">
        <v>20</v>
      </c>
      <c r="G256" t="s">
        <v>30</v>
      </c>
      <c r="H256" t="s">
        <v>31</v>
      </c>
      <c r="I256">
        <v>3</v>
      </c>
      <c r="J256" s="7">
        <v>3200</v>
      </c>
      <c r="K256" s="8">
        <v>0</v>
      </c>
      <c r="L256" s="7">
        <v>9600</v>
      </c>
      <c r="M256" s="7">
        <f>RawSalesTable[[#This Row],[Sales Amount]]-RawSalesTable[[#This Row],[Quantity]]*RawSalesTable[[#This Row],[Unit Price]]</f>
        <v>0</v>
      </c>
      <c r="N256" t="s">
        <v>50</v>
      </c>
      <c r="O256" s="9" t="s">
        <v>74</v>
      </c>
    </row>
    <row r="257" spans="1:15" x14ac:dyDescent="0.25">
      <c r="A257" s="5" t="s">
        <v>338</v>
      </c>
      <c r="B257" s="6">
        <v>45684</v>
      </c>
      <c r="C257" t="s">
        <v>94</v>
      </c>
      <c r="D257" t="s">
        <v>41</v>
      </c>
      <c r="E257" t="s">
        <v>42</v>
      </c>
      <c r="F257" t="s">
        <v>43</v>
      </c>
      <c r="G257" t="s">
        <v>21</v>
      </c>
      <c r="H257" t="s">
        <v>82</v>
      </c>
      <c r="I257">
        <v>4</v>
      </c>
      <c r="J257" s="7">
        <v>900</v>
      </c>
      <c r="K257" s="8">
        <v>0.1</v>
      </c>
      <c r="L257" s="7">
        <v>3240</v>
      </c>
      <c r="M257" s="7">
        <f>RawSalesTable[[#This Row],[Sales Amount]]-RawSalesTable[[#This Row],[Quantity]]*RawSalesTable[[#This Row],[Unit Price]]</f>
        <v>-360</v>
      </c>
      <c r="N257" t="s">
        <v>73</v>
      </c>
      <c r="O257" s="9" t="s">
        <v>59</v>
      </c>
    </row>
    <row r="258" spans="1:15" x14ac:dyDescent="0.25">
      <c r="A258" s="5" t="s">
        <v>339</v>
      </c>
      <c r="B258" s="6">
        <v>45876</v>
      </c>
      <c r="C258" t="s">
        <v>70</v>
      </c>
      <c r="D258" t="s">
        <v>102</v>
      </c>
      <c r="E258" t="s">
        <v>36</v>
      </c>
      <c r="F258" t="s">
        <v>29</v>
      </c>
      <c r="G258" t="s">
        <v>30</v>
      </c>
      <c r="H258" t="s">
        <v>31</v>
      </c>
      <c r="I258">
        <v>1</v>
      </c>
      <c r="J258" s="7">
        <v>3200</v>
      </c>
      <c r="K258" s="8">
        <v>0.15</v>
      </c>
      <c r="L258" s="7">
        <v>2720</v>
      </c>
      <c r="M258" s="7">
        <f>RawSalesTable[[#This Row],[Sales Amount]]-RawSalesTable[[#This Row],[Quantity]]*RawSalesTable[[#This Row],[Unit Price]]</f>
        <v>-480</v>
      </c>
      <c r="N258" t="s">
        <v>38</v>
      </c>
      <c r="O258" s="9" t="s">
        <v>39</v>
      </c>
    </row>
    <row r="259" spans="1:15" x14ac:dyDescent="0.25">
      <c r="A259" s="5" t="s">
        <v>340</v>
      </c>
      <c r="B259" s="6">
        <v>45737</v>
      </c>
      <c r="C259" t="s">
        <v>26</v>
      </c>
      <c r="D259" t="s">
        <v>27</v>
      </c>
      <c r="E259" t="s">
        <v>28</v>
      </c>
      <c r="F259" t="s">
        <v>29</v>
      </c>
      <c r="G259" t="s">
        <v>21</v>
      </c>
      <c r="H259" t="s">
        <v>82</v>
      </c>
      <c r="I259">
        <v>3</v>
      </c>
      <c r="J259" s="7">
        <v>900</v>
      </c>
      <c r="K259" s="8">
        <v>0.05</v>
      </c>
      <c r="L259" s="7">
        <v>2565</v>
      </c>
      <c r="M259" s="7">
        <f>RawSalesTable[[#This Row],[Sales Amount]]-RawSalesTable[[#This Row],[Quantity]]*RawSalesTable[[#This Row],[Unit Price]]</f>
        <v>-135</v>
      </c>
      <c r="N259" t="s">
        <v>23</v>
      </c>
      <c r="O259" s="9" t="s">
        <v>74</v>
      </c>
    </row>
    <row r="260" spans="1:15" x14ac:dyDescent="0.25">
      <c r="A260" s="5" t="s">
        <v>341</v>
      </c>
      <c r="B260" s="6">
        <v>45980</v>
      </c>
      <c r="C260" t="s">
        <v>53</v>
      </c>
      <c r="D260" t="s">
        <v>67</v>
      </c>
      <c r="E260" t="s">
        <v>36</v>
      </c>
      <c r="F260" t="s">
        <v>29</v>
      </c>
      <c r="G260" t="s">
        <v>77</v>
      </c>
      <c r="H260" t="s">
        <v>78</v>
      </c>
      <c r="I260">
        <v>2</v>
      </c>
      <c r="J260" s="7">
        <v>21000</v>
      </c>
      <c r="K260" s="8">
        <v>0.1</v>
      </c>
      <c r="L260" s="7">
        <v>37800</v>
      </c>
      <c r="M260" s="7">
        <f>RawSalesTable[[#This Row],[Sales Amount]]-RawSalesTable[[#This Row],[Quantity]]*RawSalesTable[[#This Row],[Unit Price]]</f>
        <v>-4200</v>
      </c>
      <c r="N260" t="s">
        <v>38</v>
      </c>
      <c r="O260" s="9" t="s">
        <v>32</v>
      </c>
    </row>
    <row r="261" spans="1:15" x14ac:dyDescent="0.25">
      <c r="A261" s="5" t="s">
        <v>342</v>
      </c>
      <c r="B261" s="6">
        <v>45794</v>
      </c>
      <c r="C261" t="s">
        <v>26</v>
      </c>
      <c r="D261" t="s">
        <v>104</v>
      </c>
      <c r="E261" t="s">
        <v>19</v>
      </c>
      <c r="F261" t="s">
        <v>20</v>
      </c>
      <c r="G261" t="s">
        <v>48</v>
      </c>
      <c r="H261" t="s">
        <v>49</v>
      </c>
      <c r="I261">
        <v>1</v>
      </c>
      <c r="J261" s="7">
        <v>13500</v>
      </c>
      <c r="K261" s="8">
        <v>0.1</v>
      </c>
      <c r="L261" s="7">
        <v>12150</v>
      </c>
      <c r="M261" s="7">
        <f>RawSalesTable[[#This Row],[Sales Amount]]-RawSalesTable[[#This Row],[Quantity]]*RawSalesTable[[#This Row],[Unit Price]]</f>
        <v>-1350</v>
      </c>
      <c r="N261" t="s">
        <v>23</v>
      </c>
      <c r="O261" s="9" t="s">
        <v>39</v>
      </c>
    </row>
    <row r="262" spans="1:15" x14ac:dyDescent="0.25">
      <c r="A262" s="5" t="s">
        <v>343</v>
      </c>
      <c r="B262" s="6">
        <v>45978</v>
      </c>
      <c r="C262" t="s">
        <v>26</v>
      </c>
      <c r="D262" t="s">
        <v>110</v>
      </c>
      <c r="E262" t="s">
        <v>72</v>
      </c>
      <c r="F262" t="s">
        <v>43</v>
      </c>
      <c r="G262" t="s">
        <v>48</v>
      </c>
      <c r="H262" t="s">
        <v>49</v>
      </c>
      <c r="I262">
        <v>4</v>
      </c>
      <c r="J262" s="7">
        <v>13500</v>
      </c>
      <c r="K262" s="8">
        <v>0.1</v>
      </c>
      <c r="L262" s="7">
        <v>48600</v>
      </c>
      <c r="M262" s="7">
        <f>RawSalesTable[[#This Row],[Sales Amount]]-RawSalesTable[[#This Row],[Quantity]]*RawSalesTable[[#This Row],[Unit Price]]</f>
        <v>-5400</v>
      </c>
      <c r="N262" t="s">
        <v>38</v>
      </c>
      <c r="O262" s="9" t="s">
        <v>74</v>
      </c>
    </row>
    <row r="263" spans="1:15" x14ac:dyDescent="0.25">
      <c r="A263" s="5" t="s">
        <v>344</v>
      </c>
      <c r="B263" s="6">
        <v>45823</v>
      </c>
      <c r="C263" t="s">
        <v>61</v>
      </c>
      <c r="D263" t="s">
        <v>62</v>
      </c>
      <c r="E263" t="s">
        <v>28</v>
      </c>
      <c r="F263" t="s">
        <v>29</v>
      </c>
      <c r="G263" t="s">
        <v>48</v>
      </c>
      <c r="H263" t="s">
        <v>49</v>
      </c>
      <c r="I263">
        <v>3</v>
      </c>
      <c r="J263" s="7">
        <v>13500</v>
      </c>
      <c r="K263" s="8">
        <v>0.15</v>
      </c>
      <c r="L263" s="7">
        <v>34425</v>
      </c>
      <c r="M263" s="7">
        <f>RawSalesTable[[#This Row],[Sales Amount]]-RawSalesTable[[#This Row],[Quantity]]*RawSalesTable[[#This Row],[Unit Price]]</f>
        <v>-6075</v>
      </c>
      <c r="N263" t="s">
        <v>50</v>
      </c>
      <c r="O263" s="9" t="s">
        <v>24</v>
      </c>
    </row>
    <row r="264" spans="1:15" x14ac:dyDescent="0.25">
      <c r="A264" s="5" t="s">
        <v>345</v>
      </c>
      <c r="B264" s="6">
        <v>45965</v>
      </c>
      <c r="C264" t="s">
        <v>70</v>
      </c>
      <c r="D264" t="s">
        <v>104</v>
      </c>
      <c r="E264" t="s">
        <v>19</v>
      </c>
      <c r="F264" t="s">
        <v>20</v>
      </c>
      <c r="G264" t="s">
        <v>54</v>
      </c>
      <c r="H264" t="s">
        <v>68</v>
      </c>
      <c r="I264">
        <v>3</v>
      </c>
      <c r="J264" s="7">
        <v>52000</v>
      </c>
      <c r="K264" s="8">
        <v>0</v>
      </c>
      <c r="L264" s="7">
        <v>156000</v>
      </c>
      <c r="M264" s="7">
        <f>RawSalesTable[[#This Row],[Sales Amount]]-RawSalesTable[[#This Row],[Quantity]]*RawSalesTable[[#This Row],[Unit Price]]</f>
        <v>0</v>
      </c>
      <c r="N264" t="s">
        <v>38</v>
      </c>
      <c r="O264" s="9" t="s">
        <v>79</v>
      </c>
    </row>
    <row r="265" spans="1:15" x14ac:dyDescent="0.25">
      <c r="A265" s="5" t="s">
        <v>346</v>
      </c>
      <c r="B265" s="6">
        <v>45793</v>
      </c>
      <c r="C265" t="s">
        <v>94</v>
      </c>
      <c r="D265" t="s">
        <v>95</v>
      </c>
      <c r="E265" t="s">
        <v>87</v>
      </c>
      <c r="F265" t="s">
        <v>20</v>
      </c>
      <c r="G265" t="s">
        <v>77</v>
      </c>
      <c r="H265" t="s">
        <v>111</v>
      </c>
      <c r="I265">
        <v>3</v>
      </c>
      <c r="J265" s="7">
        <v>29000</v>
      </c>
      <c r="K265" s="8">
        <v>0.1</v>
      </c>
      <c r="L265" s="7">
        <v>78300</v>
      </c>
      <c r="M265" s="7">
        <f>RawSalesTable[[#This Row],[Sales Amount]]-RawSalesTable[[#This Row],[Quantity]]*RawSalesTable[[#This Row],[Unit Price]]</f>
        <v>-8700</v>
      </c>
      <c r="N265" t="s">
        <v>58</v>
      </c>
      <c r="O265" s="9" t="s">
        <v>24</v>
      </c>
    </row>
    <row r="266" spans="1:15" x14ac:dyDescent="0.25">
      <c r="A266" s="5" t="s">
        <v>347</v>
      </c>
      <c r="B266" s="6">
        <v>45886</v>
      </c>
      <c r="C266" t="s">
        <v>34</v>
      </c>
      <c r="D266" t="s">
        <v>95</v>
      </c>
      <c r="E266" t="s">
        <v>87</v>
      </c>
      <c r="F266" t="s">
        <v>20</v>
      </c>
      <c r="G266" t="s">
        <v>21</v>
      </c>
      <c r="H266" t="s">
        <v>82</v>
      </c>
      <c r="I266">
        <v>2</v>
      </c>
      <c r="J266" s="7">
        <v>900</v>
      </c>
      <c r="K266" s="8">
        <v>0</v>
      </c>
      <c r="L266" s="7">
        <v>1800</v>
      </c>
      <c r="M266" s="7">
        <f>RawSalesTable[[#This Row],[Sales Amount]]-RawSalesTable[[#This Row],[Quantity]]*RawSalesTable[[#This Row],[Unit Price]]</f>
        <v>0</v>
      </c>
      <c r="N266" t="s">
        <v>38</v>
      </c>
      <c r="O266" s="9" t="s">
        <v>32</v>
      </c>
    </row>
    <row r="267" spans="1:15" x14ac:dyDescent="0.25">
      <c r="A267" s="5" t="s">
        <v>348</v>
      </c>
      <c r="B267" s="6">
        <v>45691</v>
      </c>
      <c r="C267" t="s">
        <v>84</v>
      </c>
      <c r="D267" t="s">
        <v>138</v>
      </c>
      <c r="E267" t="s">
        <v>28</v>
      </c>
      <c r="F267" t="s">
        <v>29</v>
      </c>
      <c r="G267" t="s">
        <v>48</v>
      </c>
      <c r="H267" t="s">
        <v>90</v>
      </c>
      <c r="I267">
        <v>4</v>
      </c>
      <c r="J267" s="7">
        <v>14500</v>
      </c>
      <c r="K267" s="8">
        <v>0.05</v>
      </c>
      <c r="L267" s="7">
        <v>55100</v>
      </c>
      <c r="M267" s="7">
        <f>RawSalesTable[[#This Row],[Sales Amount]]-RawSalesTable[[#This Row],[Quantity]]*RawSalesTable[[#This Row],[Unit Price]]</f>
        <v>-2900</v>
      </c>
      <c r="N267" t="s">
        <v>73</v>
      </c>
      <c r="O267" s="9" t="s">
        <v>39</v>
      </c>
    </row>
    <row r="268" spans="1:15" x14ac:dyDescent="0.25">
      <c r="A268" s="5" t="s">
        <v>349</v>
      </c>
      <c r="B268" s="6">
        <v>45850</v>
      </c>
      <c r="C268" t="s">
        <v>26</v>
      </c>
      <c r="D268" t="s">
        <v>138</v>
      </c>
      <c r="E268" t="s">
        <v>28</v>
      </c>
      <c r="F268" t="s">
        <v>29</v>
      </c>
      <c r="G268" t="s">
        <v>30</v>
      </c>
      <c r="H268" t="s">
        <v>57</v>
      </c>
      <c r="I268">
        <v>4</v>
      </c>
      <c r="J268" s="7">
        <v>4500</v>
      </c>
      <c r="K268" s="8">
        <v>0.05</v>
      </c>
      <c r="L268" s="7">
        <v>17100</v>
      </c>
      <c r="M268" s="7">
        <f>RawSalesTable[[#This Row],[Sales Amount]]-RawSalesTable[[#This Row],[Quantity]]*RawSalesTable[[#This Row],[Unit Price]]</f>
        <v>-900</v>
      </c>
      <c r="N268" t="s">
        <v>50</v>
      </c>
      <c r="O268" s="9" t="s">
        <v>79</v>
      </c>
    </row>
    <row r="269" spans="1:15" x14ac:dyDescent="0.25">
      <c r="A269" s="5" t="s">
        <v>350</v>
      </c>
      <c r="B269" s="6">
        <v>46001</v>
      </c>
      <c r="C269" t="s">
        <v>26</v>
      </c>
      <c r="D269" t="s">
        <v>18</v>
      </c>
      <c r="E269" t="s">
        <v>19</v>
      </c>
      <c r="F269" t="s">
        <v>20</v>
      </c>
      <c r="G269" t="s">
        <v>77</v>
      </c>
      <c r="H269" t="s">
        <v>99</v>
      </c>
      <c r="I269">
        <v>2</v>
      </c>
      <c r="J269" s="7">
        <v>24000</v>
      </c>
      <c r="K269" s="8">
        <v>0.05</v>
      </c>
      <c r="L269" s="7">
        <v>45600</v>
      </c>
      <c r="M269" s="7">
        <f>RawSalesTable[[#This Row],[Sales Amount]]-RawSalesTable[[#This Row],[Quantity]]*RawSalesTable[[#This Row],[Unit Price]]</f>
        <v>-2400</v>
      </c>
      <c r="N269" t="s">
        <v>38</v>
      </c>
      <c r="O269" s="9" t="s">
        <v>39</v>
      </c>
    </row>
    <row r="270" spans="1:15" x14ac:dyDescent="0.25">
      <c r="A270" s="5" t="s">
        <v>351</v>
      </c>
      <c r="B270" s="6">
        <v>45718</v>
      </c>
      <c r="C270" t="s">
        <v>26</v>
      </c>
      <c r="D270" t="s">
        <v>138</v>
      </c>
      <c r="E270" t="s">
        <v>28</v>
      </c>
      <c r="F270" t="s">
        <v>29</v>
      </c>
      <c r="G270" t="s">
        <v>30</v>
      </c>
      <c r="H270" t="s">
        <v>37</v>
      </c>
      <c r="I270">
        <v>4</v>
      </c>
      <c r="J270" s="7">
        <v>2800</v>
      </c>
      <c r="K270" s="8">
        <v>0.15</v>
      </c>
      <c r="L270" s="7">
        <v>9520</v>
      </c>
      <c r="M270" s="7">
        <f>RawSalesTable[[#This Row],[Sales Amount]]-RawSalesTable[[#This Row],[Quantity]]*RawSalesTable[[#This Row],[Unit Price]]</f>
        <v>-1680</v>
      </c>
      <c r="N270" t="s">
        <v>50</v>
      </c>
      <c r="O270" s="9" t="s">
        <v>59</v>
      </c>
    </row>
    <row r="271" spans="1:15" x14ac:dyDescent="0.25">
      <c r="A271" s="5" t="s">
        <v>352</v>
      </c>
      <c r="B271" s="6">
        <v>45731</v>
      </c>
      <c r="C271" t="s">
        <v>61</v>
      </c>
      <c r="D271" t="s">
        <v>76</v>
      </c>
      <c r="E271" t="s">
        <v>42</v>
      </c>
      <c r="F271" t="s">
        <v>43</v>
      </c>
      <c r="G271" t="s">
        <v>54</v>
      </c>
      <c r="H271" t="s">
        <v>55</v>
      </c>
      <c r="I271">
        <v>4</v>
      </c>
      <c r="J271" s="7">
        <v>58000</v>
      </c>
      <c r="K271" s="8">
        <v>0.1</v>
      </c>
      <c r="L271" s="7">
        <v>208800</v>
      </c>
      <c r="M271" s="7">
        <f>RawSalesTable[[#This Row],[Sales Amount]]-RawSalesTable[[#This Row],[Quantity]]*RawSalesTable[[#This Row],[Unit Price]]</f>
        <v>-23200</v>
      </c>
      <c r="N271" t="s">
        <v>73</v>
      </c>
      <c r="O271" s="9" t="s">
        <v>51</v>
      </c>
    </row>
    <row r="272" spans="1:15" x14ac:dyDescent="0.25">
      <c r="A272" s="5" t="s">
        <v>353</v>
      </c>
      <c r="B272" s="6">
        <v>45830</v>
      </c>
      <c r="C272" t="s">
        <v>26</v>
      </c>
      <c r="D272" t="s">
        <v>62</v>
      </c>
      <c r="E272" t="s">
        <v>28</v>
      </c>
      <c r="F272" t="s">
        <v>29</v>
      </c>
      <c r="G272" t="s">
        <v>30</v>
      </c>
      <c r="H272" t="s">
        <v>57</v>
      </c>
      <c r="I272">
        <v>3</v>
      </c>
      <c r="J272" s="7">
        <v>4500</v>
      </c>
      <c r="K272" s="8">
        <v>0.05</v>
      </c>
      <c r="L272" s="7">
        <v>12825</v>
      </c>
      <c r="M272" s="7">
        <f>RawSalesTable[[#This Row],[Sales Amount]]-RawSalesTable[[#This Row],[Quantity]]*RawSalesTable[[#This Row],[Unit Price]]</f>
        <v>-675</v>
      </c>
      <c r="N272" t="s">
        <v>38</v>
      </c>
      <c r="O272" s="9" t="s">
        <v>32</v>
      </c>
    </row>
    <row r="273" spans="1:15" x14ac:dyDescent="0.25">
      <c r="A273" s="5" t="s">
        <v>354</v>
      </c>
      <c r="B273" s="6">
        <v>45828</v>
      </c>
      <c r="C273" t="s">
        <v>17</v>
      </c>
      <c r="D273" t="s">
        <v>104</v>
      </c>
      <c r="E273" t="s">
        <v>19</v>
      </c>
      <c r="F273" t="s">
        <v>20</v>
      </c>
      <c r="G273" t="s">
        <v>30</v>
      </c>
      <c r="H273" t="s">
        <v>37</v>
      </c>
      <c r="I273">
        <v>4</v>
      </c>
      <c r="J273" s="7">
        <v>2800</v>
      </c>
      <c r="K273" s="8">
        <v>0.1</v>
      </c>
      <c r="L273" s="7">
        <v>10080</v>
      </c>
      <c r="M273" s="7">
        <f>RawSalesTable[[#This Row],[Sales Amount]]-RawSalesTable[[#This Row],[Quantity]]*RawSalesTable[[#This Row],[Unit Price]]</f>
        <v>-1120</v>
      </c>
      <c r="N273" t="s">
        <v>50</v>
      </c>
      <c r="O273" s="9" t="s">
        <v>59</v>
      </c>
    </row>
    <row r="274" spans="1:15" x14ac:dyDescent="0.25">
      <c r="A274" s="5" t="s">
        <v>355</v>
      </c>
      <c r="B274" s="6">
        <v>45868</v>
      </c>
      <c r="C274" t="s">
        <v>84</v>
      </c>
      <c r="D274" t="s">
        <v>89</v>
      </c>
      <c r="E274" t="s">
        <v>87</v>
      </c>
      <c r="F274" t="s">
        <v>20</v>
      </c>
      <c r="G274" t="s">
        <v>30</v>
      </c>
      <c r="H274" t="s">
        <v>37</v>
      </c>
      <c r="I274">
        <v>1</v>
      </c>
      <c r="J274" s="7">
        <v>2800</v>
      </c>
      <c r="K274" s="8">
        <v>0.1</v>
      </c>
      <c r="L274" s="7">
        <v>2520</v>
      </c>
      <c r="M274" s="7">
        <f>RawSalesTable[[#This Row],[Sales Amount]]-RawSalesTable[[#This Row],[Quantity]]*RawSalesTable[[#This Row],[Unit Price]]</f>
        <v>-280</v>
      </c>
      <c r="N274" t="s">
        <v>50</v>
      </c>
      <c r="O274" s="9" t="s">
        <v>79</v>
      </c>
    </row>
    <row r="275" spans="1:15" x14ac:dyDescent="0.25">
      <c r="A275" s="5" t="s">
        <v>356</v>
      </c>
      <c r="B275" s="6">
        <v>45673</v>
      </c>
      <c r="C275" t="s">
        <v>118</v>
      </c>
      <c r="D275" t="s">
        <v>71</v>
      </c>
      <c r="E275" t="s">
        <v>72</v>
      </c>
      <c r="F275" t="s">
        <v>43</v>
      </c>
      <c r="G275" t="s">
        <v>21</v>
      </c>
      <c r="H275" t="s">
        <v>22</v>
      </c>
      <c r="I275">
        <v>1</v>
      </c>
      <c r="J275" s="7">
        <v>1500</v>
      </c>
      <c r="K275" s="8">
        <v>0</v>
      </c>
      <c r="L275" s="7">
        <v>1500</v>
      </c>
      <c r="M275" s="7">
        <f>RawSalesTable[[#This Row],[Sales Amount]]-RawSalesTable[[#This Row],[Quantity]]*RawSalesTable[[#This Row],[Unit Price]]</f>
        <v>0</v>
      </c>
      <c r="N275" t="s">
        <v>38</v>
      </c>
      <c r="O275" s="9" t="s">
        <v>32</v>
      </c>
    </row>
    <row r="276" spans="1:15" x14ac:dyDescent="0.25">
      <c r="A276" s="5" t="s">
        <v>357</v>
      </c>
      <c r="B276" s="6">
        <v>45973</v>
      </c>
      <c r="C276" t="s">
        <v>70</v>
      </c>
      <c r="D276" t="s">
        <v>47</v>
      </c>
      <c r="E276" t="s">
        <v>19</v>
      </c>
      <c r="F276" t="s">
        <v>20</v>
      </c>
      <c r="G276" t="s">
        <v>77</v>
      </c>
      <c r="H276" t="s">
        <v>99</v>
      </c>
      <c r="I276">
        <v>1</v>
      </c>
      <c r="J276" s="7">
        <v>24000</v>
      </c>
      <c r="K276" s="8">
        <v>0</v>
      </c>
      <c r="L276" s="7">
        <v>24000</v>
      </c>
      <c r="M276" s="7">
        <f>RawSalesTable[[#This Row],[Sales Amount]]-RawSalesTable[[#This Row],[Quantity]]*RawSalesTable[[#This Row],[Unit Price]]</f>
        <v>0</v>
      </c>
      <c r="N276" t="s">
        <v>23</v>
      </c>
      <c r="O276" s="9" t="s">
        <v>59</v>
      </c>
    </row>
    <row r="277" spans="1:15" x14ac:dyDescent="0.25">
      <c r="A277" s="5" t="s">
        <v>358</v>
      </c>
      <c r="B277" s="6">
        <v>45695</v>
      </c>
      <c r="C277" t="s">
        <v>84</v>
      </c>
      <c r="D277" t="s">
        <v>104</v>
      </c>
      <c r="E277" t="s">
        <v>19</v>
      </c>
      <c r="F277" t="s">
        <v>20</v>
      </c>
      <c r="G277" t="s">
        <v>54</v>
      </c>
      <c r="H277" t="s">
        <v>55</v>
      </c>
      <c r="I277">
        <v>2</v>
      </c>
      <c r="J277" s="7">
        <v>58000</v>
      </c>
      <c r="K277" s="8">
        <v>0</v>
      </c>
      <c r="L277" s="7">
        <v>116000</v>
      </c>
      <c r="M277" s="7">
        <f>RawSalesTable[[#This Row],[Sales Amount]]-RawSalesTable[[#This Row],[Quantity]]*RawSalesTable[[#This Row],[Unit Price]]</f>
        <v>0</v>
      </c>
      <c r="N277" t="s">
        <v>38</v>
      </c>
      <c r="O277" s="9" t="s">
        <v>74</v>
      </c>
    </row>
    <row r="278" spans="1:15" x14ac:dyDescent="0.25">
      <c r="A278" s="5" t="s">
        <v>359</v>
      </c>
      <c r="B278" s="6">
        <v>45805</v>
      </c>
      <c r="C278" t="s">
        <v>17</v>
      </c>
      <c r="D278" t="s">
        <v>92</v>
      </c>
      <c r="E278" t="s">
        <v>42</v>
      </c>
      <c r="F278" t="s">
        <v>43</v>
      </c>
      <c r="G278" t="s">
        <v>21</v>
      </c>
      <c r="H278" t="s">
        <v>82</v>
      </c>
      <c r="I278">
        <v>1</v>
      </c>
      <c r="J278" s="7">
        <v>900</v>
      </c>
      <c r="K278" s="8">
        <v>0</v>
      </c>
      <c r="L278" s="7">
        <v>900</v>
      </c>
      <c r="M278" s="7">
        <f>RawSalesTable[[#This Row],[Sales Amount]]-RawSalesTable[[#This Row],[Quantity]]*RawSalesTable[[#This Row],[Unit Price]]</f>
        <v>0</v>
      </c>
      <c r="N278" t="s">
        <v>50</v>
      </c>
      <c r="O278" s="9" t="s">
        <v>24</v>
      </c>
    </row>
    <row r="279" spans="1:15" x14ac:dyDescent="0.25">
      <c r="A279" s="5" t="s">
        <v>360</v>
      </c>
      <c r="B279" s="6">
        <v>45955</v>
      </c>
      <c r="C279" t="s">
        <v>84</v>
      </c>
      <c r="D279" t="s">
        <v>27</v>
      </c>
      <c r="E279" t="s">
        <v>28</v>
      </c>
      <c r="F279" t="s">
        <v>29</v>
      </c>
      <c r="G279" t="s">
        <v>54</v>
      </c>
      <c r="H279" t="s">
        <v>68</v>
      </c>
      <c r="I279">
        <v>2</v>
      </c>
      <c r="J279" s="7">
        <v>52000</v>
      </c>
      <c r="K279" s="8">
        <v>0.15</v>
      </c>
      <c r="L279" s="7">
        <v>88400</v>
      </c>
      <c r="M279" s="7">
        <f>RawSalesTable[[#This Row],[Sales Amount]]-RawSalesTable[[#This Row],[Quantity]]*RawSalesTable[[#This Row],[Unit Price]]</f>
        <v>-15600</v>
      </c>
      <c r="N279" t="s">
        <v>23</v>
      </c>
      <c r="O279" s="9" t="s">
        <v>97</v>
      </c>
    </row>
    <row r="280" spans="1:15" x14ac:dyDescent="0.25">
      <c r="A280" s="5" t="s">
        <v>361</v>
      </c>
      <c r="B280" s="6">
        <v>45718</v>
      </c>
      <c r="C280" t="s">
        <v>53</v>
      </c>
      <c r="D280" t="s">
        <v>110</v>
      </c>
      <c r="E280" t="s">
        <v>72</v>
      </c>
      <c r="F280" t="s">
        <v>43</v>
      </c>
      <c r="G280" t="s">
        <v>21</v>
      </c>
      <c r="H280" t="s">
        <v>22</v>
      </c>
      <c r="I280">
        <v>4</v>
      </c>
      <c r="J280" s="7">
        <v>1500</v>
      </c>
      <c r="K280" s="8">
        <v>0.15</v>
      </c>
      <c r="L280" s="7">
        <v>5100</v>
      </c>
      <c r="M280" s="7">
        <f>RawSalesTable[[#This Row],[Sales Amount]]-RawSalesTable[[#This Row],[Quantity]]*RawSalesTable[[#This Row],[Unit Price]]</f>
        <v>-900</v>
      </c>
      <c r="N280" t="s">
        <v>58</v>
      </c>
      <c r="O280" s="9" t="s">
        <v>51</v>
      </c>
    </row>
    <row r="281" spans="1:15" x14ac:dyDescent="0.25">
      <c r="A281" s="5" t="s">
        <v>362</v>
      </c>
      <c r="B281" s="6">
        <v>45673</v>
      </c>
      <c r="C281" t="s">
        <v>118</v>
      </c>
      <c r="D281" t="s">
        <v>110</v>
      </c>
      <c r="E281" t="s">
        <v>72</v>
      </c>
      <c r="F281" t="s">
        <v>43</v>
      </c>
      <c r="G281" t="s">
        <v>77</v>
      </c>
      <c r="H281" t="s">
        <v>78</v>
      </c>
      <c r="I281">
        <v>3</v>
      </c>
      <c r="J281" s="7">
        <v>21000</v>
      </c>
      <c r="K281" s="8">
        <v>0.1</v>
      </c>
      <c r="L281" s="7">
        <v>56700</v>
      </c>
      <c r="M281" s="7">
        <f>RawSalesTable[[#This Row],[Sales Amount]]-RawSalesTable[[#This Row],[Quantity]]*RawSalesTable[[#This Row],[Unit Price]]</f>
        <v>-6300</v>
      </c>
      <c r="N281" t="s">
        <v>23</v>
      </c>
      <c r="O281" s="9" t="s">
        <v>39</v>
      </c>
    </row>
    <row r="282" spans="1:15" x14ac:dyDescent="0.25">
      <c r="A282" s="5" t="s">
        <v>363</v>
      </c>
      <c r="B282" s="6">
        <v>45999</v>
      </c>
      <c r="C282" t="s">
        <v>17</v>
      </c>
      <c r="D282" t="s">
        <v>102</v>
      </c>
      <c r="E282" t="s">
        <v>36</v>
      </c>
      <c r="F282" t="s">
        <v>29</v>
      </c>
      <c r="G282" t="s">
        <v>30</v>
      </c>
      <c r="H282" t="s">
        <v>37</v>
      </c>
      <c r="I282">
        <v>2</v>
      </c>
      <c r="J282" s="7">
        <v>2800</v>
      </c>
      <c r="K282" s="8">
        <v>0</v>
      </c>
      <c r="L282" s="7">
        <v>5600</v>
      </c>
      <c r="M282" s="7">
        <f>RawSalesTable[[#This Row],[Sales Amount]]-RawSalesTable[[#This Row],[Quantity]]*RawSalesTable[[#This Row],[Unit Price]]</f>
        <v>0</v>
      </c>
      <c r="N282" t="s">
        <v>73</v>
      </c>
      <c r="O282" s="9" t="s">
        <v>59</v>
      </c>
    </row>
    <row r="283" spans="1:15" x14ac:dyDescent="0.25">
      <c r="A283" s="5" t="s">
        <v>364</v>
      </c>
      <c r="B283" s="6">
        <v>45778</v>
      </c>
      <c r="C283" t="s">
        <v>61</v>
      </c>
      <c r="D283" t="s">
        <v>41</v>
      </c>
      <c r="E283" t="s">
        <v>42</v>
      </c>
      <c r="F283" t="s">
        <v>43</v>
      </c>
      <c r="G283" t="s">
        <v>77</v>
      </c>
      <c r="H283" t="s">
        <v>99</v>
      </c>
      <c r="I283">
        <v>4</v>
      </c>
      <c r="J283" s="7">
        <v>24000</v>
      </c>
      <c r="K283" s="8">
        <v>0.1</v>
      </c>
      <c r="L283" s="7">
        <v>86400</v>
      </c>
      <c r="M283" s="7">
        <f>RawSalesTable[[#This Row],[Sales Amount]]-RawSalesTable[[#This Row],[Quantity]]*RawSalesTable[[#This Row],[Unit Price]]</f>
        <v>-9600</v>
      </c>
      <c r="N283" t="s">
        <v>23</v>
      </c>
      <c r="O283" s="9" t="s">
        <v>74</v>
      </c>
    </row>
    <row r="284" spans="1:15" x14ac:dyDescent="0.25">
      <c r="A284" s="5" t="s">
        <v>365</v>
      </c>
      <c r="B284" s="6">
        <v>45682</v>
      </c>
      <c r="C284" t="s">
        <v>61</v>
      </c>
      <c r="D284" t="s">
        <v>102</v>
      </c>
      <c r="E284" t="s">
        <v>36</v>
      </c>
      <c r="F284" t="s">
        <v>29</v>
      </c>
      <c r="G284" t="s">
        <v>30</v>
      </c>
      <c r="H284" t="s">
        <v>57</v>
      </c>
      <c r="I284">
        <v>1</v>
      </c>
      <c r="J284" s="7">
        <v>4500</v>
      </c>
      <c r="K284" s="8">
        <v>0</v>
      </c>
      <c r="L284" s="7">
        <v>4500</v>
      </c>
      <c r="M284" s="7">
        <f>RawSalesTable[[#This Row],[Sales Amount]]-RawSalesTable[[#This Row],[Quantity]]*RawSalesTable[[#This Row],[Unit Price]]</f>
        <v>0</v>
      </c>
      <c r="N284" t="s">
        <v>23</v>
      </c>
      <c r="O284" s="9" t="s">
        <v>24</v>
      </c>
    </row>
    <row r="285" spans="1:15" x14ac:dyDescent="0.25">
      <c r="A285" s="5" t="s">
        <v>366</v>
      </c>
      <c r="B285" s="6">
        <v>45883</v>
      </c>
      <c r="C285" t="s">
        <v>34</v>
      </c>
      <c r="D285" t="s">
        <v>89</v>
      </c>
      <c r="E285" t="s">
        <v>87</v>
      </c>
      <c r="F285" t="s">
        <v>20</v>
      </c>
      <c r="G285" t="s">
        <v>77</v>
      </c>
      <c r="H285" t="s">
        <v>99</v>
      </c>
      <c r="I285">
        <v>2</v>
      </c>
      <c r="J285" s="7">
        <v>24000</v>
      </c>
      <c r="K285" s="8">
        <v>0</v>
      </c>
      <c r="L285" s="7">
        <v>48000</v>
      </c>
      <c r="M285" s="7">
        <f>RawSalesTable[[#This Row],[Sales Amount]]-RawSalesTable[[#This Row],[Quantity]]*RawSalesTable[[#This Row],[Unit Price]]</f>
        <v>0</v>
      </c>
      <c r="N285" t="s">
        <v>73</v>
      </c>
      <c r="O285" s="9" t="s">
        <v>32</v>
      </c>
    </row>
    <row r="286" spans="1:15" x14ac:dyDescent="0.25">
      <c r="A286" s="5" t="s">
        <v>367</v>
      </c>
      <c r="B286" s="6">
        <v>45703</v>
      </c>
      <c r="C286" t="s">
        <v>61</v>
      </c>
      <c r="D286" t="s">
        <v>104</v>
      </c>
      <c r="E286" t="s">
        <v>19</v>
      </c>
      <c r="F286" t="s">
        <v>20</v>
      </c>
      <c r="G286" t="s">
        <v>77</v>
      </c>
      <c r="H286" t="s">
        <v>78</v>
      </c>
      <c r="I286">
        <v>2</v>
      </c>
      <c r="J286" s="7">
        <v>21000</v>
      </c>
      <c r="K286" s="8">
        <v>0</v>
      </c>
      <c r="L286" s="7">
        <v>42000</v>
      </c>
      <c r="M286" s="7">
        <f>RawSalesTable[[#This Row],[Sales Amount]]-RawSalesTable[[#This Row],[Quantity]]*RawSalesTable[[#This Row],[Unit Price]]</f>
        <v>0</v>
      </c>
      <c r="N286" t="s">
        <v>50</v>
      </c>
      <c r="O286" s="9" t="s">
        <v>74</v>
      </c>
    </row>
    <row r="287" spans="1:15" x14ac:dyDescent="0.25">
      <c r="A287" s="5" t="s">
        <v>368</v>
      </c>
      <c r="B287" s="6">
        <v>45797</v>
      </c>
      <c r="C287" t="s">
        <v>84</v>
      </c>
      <c r="D287" t="s">
        <v>62</v>
      </c>
      <c r="E287" t="s">
        <v>28</v>
      </c>
      <c r="F287" t="s">
        <v>29</v>
      </c>
      <c r="G287" t="s">
        <v>77</v>
      </c>
      <c r="H287" t="s">
        <v>99</v>
      </c>
      <c r="I287">
        <v>3</v>
      </c>
      <c r="J287" s="7">
        <v>24000</v>
      </c>
      <c r="K287" s="8">
        <v>0.15</v>
      </c>
      <c r="L287" s="7">
        <v>61200</v>
      </c>
      <c r="M287" s="7">
        <f>RawSalesTable[[#This Row],[Sales Amount]]-RawSalesTable[[#This Row],[Quantity]]*RawSalesTable[[#This Row],[Unit Price]]</f>
        <v>-10800</v>
      </c>
      <c r="N287" t="s">
        <v>73</v>
      </c>
      <c r="O287" s="9" t="s">
        <v>97</v>
      </c>
    </row>
    <row r="288" spans="1:15" x14ac:dyDescent="0.25">
      <c r="A288" s="5" t="s">
        <v>369</v>
      </c>
      <c r="B288" s="6">
        <v>45795</v>
      </c>
      <c r="C288" t="s">
        <v>34</v>
      </c>
      <c r="D288" t="s">
        <v>27</v>
      </c>
      <c r="E288" t="s">
        <v>28</v>
      </c>
      <c r="F288" t="s">
        <v>29</v>
      </c>
      <c r="G288" t="s">
        <v>30</v>
      </c>
      <c r="H288" t="s">
        <v>37</v>
      </c>
      <c r="I288">
        <v>2</v>
      </c>
      <c r="J288" s="7">
        <v>2800</v>
      </c>
      <c r="K288" s="8">
        <v>0.15</v>
      </c>
      <c r="L288" s="7">
        <v>4760</v>
      </c>
      <c r="M288" s="7">
        <f>RawSalesTable[[#This Row],[Sales Amount]]-RawSalesTable[[#This Row],[Quantity]]*RawSalesTable[[#This Row],[Unit Price]]</f>
        <v>-840</v>
      </c>
      <c r="N288" t="s">
        <v>23</v>
      </c>
      <c r="O288" s="9" t="s">
        <v>74</v>
      </c>
    </row>
    <row r="289" spans="1:15" x14ac:dyDescent="0.25">
      <c r="A289" s="5" t="s">
        <v>370</v>
      </c>
      <c r="B289" s="6">
        <v>45776</v>
      </c>
      <c r="C289" t="s">
        <v>61</v>
      </c>
      <c r="D289" t="s">
        <v>92</v>
      </c>
      <c r="E289" t="s">
        <v>42</v>
      </c>
      <c r="F289" t="s">
        <v>43</v>
      </c>
      <c r="G289" t="s">
        <v>54</v>
      </c>
      <c r="H289" t="s">
        <v>55</v>
      </c>
      <c r="I289">
        <v>3</v>
      </c>
      <c r="J289" s="7">
        <v>58000</v>
      </c>
      <c r="K289" s="8">
        <v>0.1</v>
      </c>
      <c r="L289" s="7">
        <v>156600</v>
      </c>
      <c r="M289" s="7">
        <f>RawSalesTable[[#This Row],[Sales Amount]]-RawSalesTable[[#This Row],[Quantity]]*RawSalesTable[[#This Row],[Unit Price]]</f>
        <v>-17400</v>
      </c>
      <c r="N289" t="s">
        <v>50</v>
      </c>
      <c r="O289" s="9" t="s">
        <v>79</v>
      </c>
    </row>
    <row r="290" spans="1:15" x14ac:dyDescent="0.25">
      <c r="A290" s="5" t="s">
        <v>371</v>
      </c>
      <c r="B290" s="6">
        <v>45688</v>
      </c>
      <c r="C290" t="s">
        <v>84</v>
      </c>
      <c r="D290" t="s">
        <v>67</v>
      </c>
      <c r="E290" t="s">
        <v>36</v>
      </c>
      <c r="F290" t="s">
        <v>29</v>
      </c>
      <c r="G290" t="s">
        <v>30</v>
      </c>
      <c r="H290" t="s">
        <v>37</v>
      </c>
      <c r="I290">
        <v>4</v>
      </c>
      <c r="J290" s="7">
        <v>2800</v>
      </c>
      <c r="K290" s="8">
        <v>0.05</v>
      </c>
      <c r="L290" s="7">
        <v>10640</v>
      </c>
      <c r="M290" s="7">
        <f>RawSalesTable[[#This Row],[Sales Amount]]-RawSalesTable[[#This Row],[Quantity]]*RawSalesTable[[#This Row],[Unit Price]]</f>
        <v>-560</v>
      </c>
      <c r="N290" t="s">
        <v>50</v>
      </c>
      <c r="O290" s="9" t="s">
        <v>51</v>
      </c>
    </row>
    <row r="291" spans="1:15" x14ac:dyDescent="0.25">
      <c r="A291" s="5" t="s">
        <v>372</v>
      </c>
      <c r="B291" s="6">
        <v>45764</v>
      </c>
      <c r="C291" t="s">
        <v>26</v>
      </c>
      <c r="D291" t="s">
        <v>47</v>
      </c>
      <c r="E291" t="s">
        <v>19</v>
      </c>
      <c r="F291" t="s">
        <v>20</v>
      </c>
      <c r="G291" t="s">
        <v>21</v>
      </c>
      <c r="H291" t="s">
        <v>22</v>
      </c>
      <c r="I291">
        <v>4</v>
      </c>
      <c r="J291" s="7">
        <v>1500</v>
      </c>
      <c r="K291" s="8">
        <v>0.05</v>
      </c>
      <c r="L291" s="7">
        <v>5700</v>
      </c>
      <c r="M291" s="7">
        <f>RawSalesTable[[#This Row],[Sales Amount]]-RawSalesTable[[#This Row],[Quantity]]*RawSalesTable[[#This Row],[Unit Price]]</f>
        <v>-300</v>
      </c>
      <c r="N291" t="s">
        <v>50</v>
      </c>
      <c r="O291" s="9" t="s">
        <v>59</v>
      </c>
    </row>
    <row r="292" spans="1:15" x14ac:dyDescent="0.25">
      <c r="A292" s="5" t="s">
        <v>373</v>
      </c>
      <c r="B292" s="6">
        <v>45980</v>
      </c>
      <c r="C292" t="s">
        <v>118</v>
      </c>
      <c r="D292" t="s">
        <v>92</v>
      </c>
      <c r="E292" t="s">
        <v>42</v>
      </c>
      <c r="F292" t="s">
        <v>43</v>
      </c>
      <c r="G292" t="s">
        <v>21</v>
      </c>
      <c r="H292" t="s">
        <v>82</v>
      </c>
      <c r="I292">
        <v>2</v>
      </c>
      <c r="J292" s="7">
        <v>900</v>
      </c>
      <c r="K292" s="8">
        <v>0</v>
      </c>
      <c r="L292" s="7">
        <v>1800</v>
      </c>
      <c r="M292" s="7">
        <f>RawSalesTable[[#This Row],[Sales Amount]]-RawSalesTable[[#This Row],[Quantity]]*RawSalesTable[[#This Row],[Unit Price]]</f>
        <v>0</v>
      </c>
      <c r="N292" t="s">
        <v>58</v>
      </c>
      <c r="O292" s="9" t="s">
        <v>32</v>
      </c>
    </row>
    <row r="293" spans="1:15" x14ac:dyDescent="0.25">
      <c r="A293" s="5" t="s">
        <v>374</v>
      </c>
      <c r="B293" s="6">
        <v>45786</v>
      </c>
      <c r="C293" t="s">
        <v>46</v>
      </c>
      <c r="D293" t="s">
        <v>104</v>
      </c>
      <c r="E293" t="s">
        <v>19</v>
      </c>
      <c r="F293" t="s">
        <v>20</v>
      </c>
      <c r="G293" t="s">
        <v>21</v>
      </c>
      <c r="H293" t="s">
        <v>22</v>
      </c>
      <c r="I293">
        <v>1</v>
      </c>
      <c r="J293" s="7">
        <v>1500</v>
      </c>
      <c r="K293" s="8">
        <v>0</v>
      </c>
      <c r="L293" s="7">
        <v>1500</v>
      </c>
      <c r="M293" s="7">
        <f>RawSalesTable[[#This Row],[Sales Amount]]-RawSalesTable[[#This Row],[Quantity]]*RawSalesTable[[#This Row],[Unit Price]]</f>
        <v>0</v>
      </c>
      <c r="N293" t="s">
        <v>73</v>
      </c>
      <c r="O293" s="9" t="s">
        <v>59</v>
      </c>
    </row>
    <row r="294" spans="1:15" x14ac:dyDescent="0.25">
      <c r="A294" s="5" t="s">
        <v>375</v>
      </c>
      <c r="B294" s="6">
        <v>45669</v>
      </c>
      <c r="C294" t="s">
        <v>53</v>
      </c>
      <c r="D294" t="s">
        <v>27</v>
      </c>
      <c r="E294" t="s">
        <v>28</v>
      </c>
      <c r="F294" t="s">
        <v>29</v>
      </c>
      <c r="G294" t="s">
        <v>30</v>
      </c>
      <c r="H294" t="s">
        <v>31</v>
      </c>
      <c r="I294">
        <v>4</v>
      </c>
      <c r="J294" s="7">
        <v>3200</v>
      </c>
      <c r="K294" s="8">
        <v>0</v>
      </c>
      <c r="L294" s="7">
        <v>12800</v>
      </c>
      <c r="M294" s="7">
        <f>RawSalesTable[[#This Row],[Sales Amount]]-RawSalesTable[[#This Row],[Quantity]]*RawSalesTable[[#This Row],[Unit Price]]</f>
        <v>0</v>
      </c>
      <c r="N294" t="s">
        <v>23</v>
      </c>
      <c r="O294" s="9" t="s">
        <v>51</v>
      </c>
    </row>
    <row r="295" spans="1:15" x14ac:dyDescent="0.25">
      <c r="A295" s="5" t="s">
        <v>376</v>
      </c>
      <c r="B295" s="6">
        <v>45878</v>
      </c>
      <c r="C295" t="s">
        <v>17</v>
      </c>
      <c r="D295" t="s">
        <v>81</v>
      </c>
      <c r="E295" t="s">
        <v>72</v>
      </c>
      <c r="F295" t="s">
        <v>43</v>
      </c>
      <c r="G295" t="s">
        <v>21</v>
      </c>
      <c r="H295" t="s">
        <v>82</v>
      </c>
      <c r="I295">
        <v>4</v>
      </c>
      <c r="J295" s="7">
        <v>900</v>
      </c>
      <c r="K295" s="8">
        <v>0.05</v>
      </c>
      <c r="L295" s="7">
        <v>3420</v>
      </c>
      <c r="M295" s="7">
        <f>RawSalesTable[[#This Row],[Sales Amount]]-RawSalesTable[[#This Row],[Quantity]]*RawSalesTable[[#This Row],[Unit Price]]</f>
        <v>-180</v>
      </c>
      <c r="N295" t="s">
        <v>23</v>
      </c>
      <c r="O295" s="9" t="s">
        <v>51</v>
      </c>
    </row>
    <row r="296" spans="1:15" x14ac:dyDescent="0.25">
      <c r="A296" s="5" t="s">
        <v>377</v>
      </c>
      <c r="B296" s="6">
        <v>45732</v>
      </c>
      <c r="C296" t="s">
        <v>46</v>
      </c>
      <c r="D296" t="s">
        <v>89</v>
      </c>
      <c r="E296" t="s">
        <v>87</v>
      </c>
      <c r="F296" t="s">
        <v>20</v>
      </c>
      <c r="G296" t="s">
        <v>21</v>
      </c>
      <c r="H296" t="s">
        <v>22</v>
      </c>
      <c r="I296">
        <v>1</v>
      </c>
      <c r="J296" s="7">
        <v>1500</v>
      </c>
      <c r="K296" s="8">
        <v>0</v>
      </c>
      <c r="L296" s="7">
        <v>1500</v>
      </c>
      <c r="M296" s="7">
        <f>RawSalesTable[[#This Row],[Sales Amount]]-RawSalesTable[[#This Row],[Quantity]]*RawSalesTable[[#This Row],[Unit Price]]</f>
        <v>0</v>
      </c>
      <c r="N296" t="s">
        <v>73</v>
      </c>
      <c r="O296" s="9" t="s">
        <v>32</v>
      </c>
    </row>
    <row r="297" spans="1:15" x14ac:dyDescent="0.25">
      <c r="A297" s="5" t="s">
        <v>378</v>
      </c>
      <c r="B297" s="6">
        <v>45877</v>
      </c>
      <c r="C297" t="s">
        <v>34</v>
      </c>
      <c r="D297" t="s">
        <v>81</v>
      </c>
      <c r="E297" t="s">
        <v>72</v>
      </c>
      <c r="F297" t="s">
        <v>43</v>
      </c>
      <c r="G297" t="s">
        <v>30</v>
      </c>
      <c r="H297" t="s">
        <v>57</v>
      </c>
      <c r="I297">
        <v>4</v>
      </c>
      <c r="J297" s="7">
        <v>4500</v>
      </c>
      <c r="K297" s="8">
        <v>0.1</v>
      </c>
      <c r="L297" s="7">
        <v>16200</v>
      </c>
      <c r="M297" s="7">
        <f>RawSalesTable[[#This Row],[Sales Amount]]-RawSalesTable[[#This Row],[Quantity]]*RawSalesTable[[#This Row],[Unit Price]]</f>
        <v>-1800</v>
      </c>
      <c r="N297" t="s">
        <v>73</v>
      </c>
      <c r="O297" s="9" t="s">
        <v>32</v>
      </c>
    </row>
    <row r="298" spans="1:15" x14ac:dyDescent="0.25">
      <c r="A298" s="5" t="s">
        <v>379</v>
      </c>
      <c r="B298" s="6">
        <v>45955</v>
      </c>
      <c r="C298" t="s">
        <v>61</v>
      </c>
      <c r="D298" t="s">
        <v>67</v>
      </c>
      <c r="E298" t="s">
        <v>36</v>
      </c>
      <c r="F298" t="s">
        <v>29</v>
      </c>
      <c r="G298" t="s">
        <v>48</v>
      </c>
      <c r="H298" t="s">
        <v>49</v>
      </c>
      <c r="I298">
        <v>1</v>
      </c>
      <c r="J298" s="7">
        <v>13500</v>
      </c>
      <c r="K298" s="8">
        <v>0.15</v>
      </c>
      <c r="L298" s="7">
        <v>11475</v>
      </c>
      <c r="M298" s="7">
        <f>RawSalesTable[[#This Row],[Sales Amount]]-RawSalesTable[[#This Row],[Quantity]]*RawSalesTable[[#This Row],[Unit Price]]</f>
        <v>-2025</v>
      </c>
      <c r="N298" t="s">
        <v>50</v>
      </c>
      <c r="O298" s="9" t="s">
        <v>74</v>
      </c>
    </row>
    <row r="299" spans="1:15" x14ac:dyDescent="0.25">
      <c r="A299" s="5" t="s">
        <v>380</v>
      </c>
      <c r="B299" s="6">
        <v>45721</v>
      </c>
      <c r="C299" t="s">
        <v>26</v>
      </c>
      <c r="D299" t="s">
        <v>76</v>
      </c>
      <c r="E299" t="s">
        <v>42</v>
      </c>
      <c r="F299" t="s">
        <v>43</v>
      </c>
      <c r="G299" t="s">
        <v>21</v>
      </c>
      <c r="H299" t="s">
        <v>82</v>
      </c>
      <c r="I299">
        <v>4</v>
      </c>
      <c r="J299" s="7">
        <v>900</v>
      </c>
      <c r="K299" s="8">
        <v>0.15</v>
      </c>
      <c r="L299" s="7">
        <v>3060</v>
      </c>
      <c r="M299" s="7">
        <f>RawSalesTable[[#This Row],[Sales Amount]]-RawSalesTable[[#This Row],[Quantity]]*RawSalesTable[[#This Row],[Unit Price]]</f>
        <v>-540</v>
      </c>
      <c r="N299" t="s">
        <v>38</v>
      </c>
      <c r="O299" s="9" t="s">
        <v>74</v>
      </c>
    </row>
    <row r="300" spans="1:15" x14ac:dyDescent="0.25">
      <c r="A300" s="5" t="s">
        <v>381</v>
      </c>
      <c r="B300" s="6">
        <v>45704</v>
      </c>
      <c r="C300" t="s">
        <v>34</v>
      </c>
      <c r="D300" t="s">
        <v>18</v>
      </c>
      <c r="E300" t="s">
        <v>19</v>
      </c>
      <c r="F300" t="s">
        <v>20</v>
      </c>
      <c r="G300" t="s">
        <v>48</v>
      </c>
      <c r="H300" t="s">
        <v>105</v>
      </c>
      <c r="I300">
        <v>4</v>
      </c>
      <c r="J300" s="7">
        <v>21000</v>
      </c>
      <c r="K300" s="8">
        <v>0.1</v>
      </c>
      <c r="L300" s="7">
        <v>75600</v>
      </c>
      <c r="M300" s="7">
        <f>RawSalesTable[[#This Row],[Sales Amount]]-RawSalesTable[[#This Row],[Quantity]]*RawSalesTable[[#This Row],[Unit Price]]</f>
        <v>-8400</v>
      </c>
      <c r="N300" t="s">
        <v>58</v>
      </c>
      <c r="O300" s="9" t="s">
        <v>24</v>
      </c>
    </row>
    <row r="301" spans="1:15" x14ac:dyDescent="0.25">
      <c r="A301" s="5" t="s">
        <v>382</v>
      </c>
      <c r="B301" s="6">
        <v>45830</v>
      </c>
      <c r="C301" t="s">
        <v>61</v>
      </c>
      <c r="D301" t="s">
        <v>71</v>
      </c>
      <c r="E301" t="s">
        <v>72</v>
      </c>
      <c r="F301" t="s">
        <v>43</v>
      </c>
      <c r="G301" t="s">
        <v>21</v>
      </c>
      <c r="H301" t="s">
        <v>22</v>
      </c>
      <c r="I301">
        <v>3</v>
      </c>
      <c r="J301" s="7">
        <v>1500</v>
      </c>
      <c r="K301" s="8">
        <v>0.1</v>
      </c>
      <c r="L301" s="7">
        <v>4050</v>
      </c>
      <c r="M301" s="7">
        <f>RawSalesTable[[#This Row],[Sales Amount]]-RawSalesTable[[#This Row],[Quantity]]*RawSalesTable[[#This Row],[Unit Price]]</f>
        <v>-450</v>
      </c>
      <c r="N301" t="s">
        <v>50</v>
      </c>
      <c r="O301" s="9" t="s">
        <v>74</v>
      </c>
    </row>
    <row r="302" spans="1:15" x14ac:dyDescent="0.25">
      <c r="A302" s="5" t="s">
        <v>383</v>
      </c>
      <c r="B302" s="6">
        <v>45932</v>
      </c>
      <c r="C302" t="s">
        <v>94</v>
      </c>
      <c r="D302" t="s">
        <v>35</v>
      </c>
      <c r="E302" t="s">
        <v>36</v>
      </c>
      <c r="F302" t="s">
        <v>29</v>
      </c>
      <c r="G302" t="s">
        <v>21</v>
      </c>
      <c r="H302" t="s">
        <v>44</v>
      </c>
      <c r="I302">
        <v>1</v>
      </c>
      <c r="J302" s="7">
        <v>1200</v>
      </c>
      <c r="K302" s="8">
        <v>0</v>
      </c>
      <c r="L302" s="7">
        <v>1200</v>
      </c>
      <c r="M302" s="7">
        <f>RawSalesTable[[#This Row],[Sales Amount]]-RawSalesTable[[#This Row],[Quantity]]*RawSalesTable[[#This Row],[Unit Price]]</f>
        <v>0</v>
      </c>
      <c r="N302" t="s">
        <v>38</v>
      </c>
      <c r="O302" s="9" t="s">
        <v>32</v>
      </c>
    </row>
    <row r="303" spans="1:15" x14ac:dyDescent="0.25">
      <c r="A303" s="5" t="s">
        <v>384</v>
      </c>
      <c r="B303" s="6">
        <v>45995</v>
      </c>
      <c r="C303" t="s">
        <v>94</v>
      </c>
      <c r="D303" t="s">
        <v>95</v>
      </c>
      <c r="E303" t="s">
        <v>87</v>
      </c>
      <c r="F303" t="s">
        <v>20</v>
      </c>
      <c r="G303" t="s">
        <v>77</v>
      </c>
      <c r="H303" t="s">
        <v>78</v>
      </c>
      <c r="I303">
        <v>4</v>
      </c>
      <c r="J303" s="7">
        <v>21000</v>
      </c>
      <c r="K303" s="8">
        <v>0.15</v>
      </c>
      <c r="L303" s="7">
        <v>71400</v>
      </c>
      <c r="M303" s="7">
        <f>RawSalesTable[[#This Row],[Sales Amount]]-RawSalesTable[[#This Row],[Quantity]]*RawSalesTable[[#This Row],[Unit Price]]</f>
        <v>-12600</v>
      </c>
      <c r="N303" t="s">
        <v>38</v>
      </c>
      <c r="O303" s="9" t="s">
        <v>32</v>
      </c>
    </row>
    <row r="304" spans="1:15" x14ac:dyDescent="0.25">
      <c r="A304" s="5" t="s">
        <v>385</v>
      </c>
      <c r="B304" s="6">
        <v>45746</v>
      </c>
      <c r="C304" t="s">
        <v>46</v>
      </c>
      <c r="D304" t="s">
        <v>62</v>
      </c>
      <c r="E304" t="s">
        <v>28</v>
      </c>
      <c r="F304" t="s">
        <v>29</v>
      </c>
      <c r="G304" t="s">
        <v>77</v>
      </c>
      <c r="H304" t="s">
        <v>111</v>
      </c>
      <c r="I304">
        <v>2</v>
      </c>
      <c r="J304" s="7">
        <v>29000</v>
      </c>
      <c r="K304" s="8">
        <v>0.15</v>
      </c>
      <c r="L304" s="7">
        <v>49300</v>
      </c>
      <c r="M304" s="7">
        <f>RawSalesTable[[#This Row],[Sales Amount]]-RawSalesTable[[#This Row],[Quantity]]*RawSalesTable[[#This Row],[Unit Price]]</f>
        <v>-8700</v>
      </c>
      <c r="N304" t="s">
        <v>58</v>
      </c>
      <c r="O304" s="9" t="s">
        <v>97</v>
      </c>
    </row>
    <row r="305" spans="1:15" x14ac:dyDescent="0.25">
      <c r="A305" s="5" t="s">
        <v>386</v>
      </c>
      <c r="B305" s="6">
        <v>45824</v>
      </c>
      <c r="C305" t="s">
        <v>46</v>
      </c>
      <c r="D305" t="s">
        <v>89</v>
      </c>
      <c r="E305" t="s">
        <v>87</v>
      </c>
      <c r="F305" t="s">
        <v>20</v>
      </c>
      <c r="G305" t="s">
        <v>48</v>
      </c>
      <c r="H305" t="s">
        <v>90</v>
      </c>
      <c r="I305">
        <v>4</v>
      </c>
      <c r="J305" s="7">
        <v>14500</v>
      </c>
      <c r="K305" s="8">
        <v>0.1</v>
      </c>
      <c r="L305" s="7">
        <v>52200</v>
      </c>
      <c r="M305" s="7">
        <f>RawSalesTable[[#This Row],[Sales Amount]]-RawSalesTable[[#This Row],[Quantity]]*RawSalesTable[[#This Row],[Unit Price]]</f>
        <v>-5800</v>
      </c>
      <c r="N305" t="s">
        <v>50</v>
      </c>
      <c r="O305" s="9" t="s">
        <v>59</v>
      </c>
    </row>
    <row r="306" spans="1:15" x14ac:dyDescent="0.25">
      <c r="A306" s="5" t="s">
        <v>387</v>
      </c>
      <c r="B306" s="6">
        <v>45680</v>
      </c>
      <c r="C306" t="s">
        <v>17</v>
      </c>
      <c r="D306" t="s">
        <v>102</v>
      </c>
      <c r="E306" t="s">
        <v>36</v>
      </c>
      <c r="F306" t="s">
        <v>29</v>
      </c>
      <c r="G306" t="s">
        <v>30</v>
      </c>
      <c r="H306" t="s">
        <v>31</v>
      </c>
      <c r="I306">
        <v>1</v>
      </c>
      <c r="J306" s="7">
        <v>3200</v>
      </c>
      <c r="K306" s="8">
        <v>0</v>
      </c>
      <c r="L306" s="7">
        <v>3200</v>
      </c>
      <c r="M306" s="7">
        <f>RawSalesTable[[#This Row],[Sales Amount]]-RawSalesTable[[#This Row],[Quantity]]*RawSalesTable[[#This Row],[Unit Price]]</f>
        <v>0</v>
      </c>
      <c r="N306" t="s">
        <v>38</v>
      </c>
      <c r="O306" s="9" t="s">
        <v>51</v>
      </c>
    </row>
    <row r="307" spans="1:15" x14ac:dyDescent="0.25">
      <c r="A307" s="5" t="s">
        <v>388</v>
      </c>
      <c r="B307" s="6">
        <v>45738</v>
      </c>
      <c r="C307" t="s">
        <v>94</v>
      </c>
      <c r="D307" t="s">
        <v>86</v>
      </c>
      <c r="E307" t="s">
        <v>87</v>
      </c>
      <c r="F307" t="s">
        <v>20</v>
      </c>
      <c r="G307" t="s">
        <v>30</v>
      </c>
      <c r="H307" t="s">
        <v>57</v>
      </c>
      <c r="I307">
        <v>1</v>
      </c>
      <c r="J307" s="7">
        <v>4500</v>
      </c>
      <c r="K307" s="8">
        <v>0.1</v>
      </c>
      <c r="L307" s="7">
        <v>4050</v>
      </c>
      <c r="M307" s="7">
        <f>RawSalesTable[[#This Row],[Sales Amount]]-RawSalesTable[[#This Row],[Quantity]]*RawSalesTable[[#This Row],[Unit Price]]</f>
        <v>-450</v>
      </c>
      <c r="N307" t="s">
        <v>50</v>
      </c>
      <c r="O307" s="9" t="s">
        <v>59</v>
      </c>
    </row>
    <row r="308" spans="1:15" x14ac:dyDescent="0.25">
      <c r="A308" s="5" t="s">
        <v>389</v>
      </c>
      <c r="B308" s="6">
        <v>45892</v>
      </c>
      <c r="C308" t="s">
        <v>26</v>
      </c>
      <c r="D308" t="s">
        <v>35</v>
      </c>
      <c r="E308" t="s">
        <v>36</v>
      </c>
      <c r="F308" t="s">
        <v>29</v>
      </c>
      <c r="G308" t="s">
        <v>77</v>
      </c>
      <c r="H308" t="s">
        <v>111</v>
      </c>
      <c r="I308">
        <v>3</v>
      </c>
      <c r="J308" s="7">
        <v>29000</v>
      </c>
      <c r="K308" s="8">
        <v>0</v>
      </c>
      <c r="L308" s="7">
        <v>87000</v>
      </c>
      <c r="M308" s="7">
        <f>RawSalesTable[[#This Row],[Sales Amount]]-RawSalesTable[[#This Row],[Quantity]]*RawSalesTable[[#This Row],[Unit Price]]</f>
        <v>0</v>
      </c>
      <c r="N308" t="s">
        <v>38</v>
      </c>
      <c r="O308" s="9" t="s">
        <v>79</v>
      </c>
    </row>
    <row r="309" spans="1:15" x14ac:dyDescent="0.25">
      <c r="A309" s="5" t="s">
        <v>390</v>
      </c>
      <c r="B309" s="6">
        <v>45697</v>
      </c>
      <c r="C309" t="s">
        <v>17</v>
      </c>
      <c r="D309" t="s">
        <v>102</v>
      </c>
      <c r="E309" t="s">
        <v>36</v>
      </c>
      <c r="F309" t="s">
        <v>29</v>
      </c>
      <c r="G309" t="s">
        <v>48</v>
      </c>
      <c r="H309" t="s">
        <v>105</v>
      </c>
      <c r="I309">
        <v>3</v>
      </c>
      <c r="J309" s="7">
        <v>21000</v>
      </c>
      <c r="K309" s="8">
        <v>0.05</v>
      </c>
      <c r="L309" s="7">
        <v>59850</v>
      </c>
      <c r="M309" s="7">
        <f>RawSalesTable[[#This Row],[Sales Amount]]-RawSalesTable[[#This Row],[Quantity]]*RawSalesTable[[#This Row],[Unit Price]]</f>
        <v>-3150</v>
      </c>
      <c r="N309" t="s">
        <v>73</v>
      </c>
      <c r="O309" s="9" t="s">
        <v>97</v>
      </c>
    </row>
    <row r="310" spans="1:15" x14ac:dyDescent="0.25">
      <c r="A310" s="5" t="s">
        <v>391</v>
      </c>
      <c r="B310" s="6">
        <v>45673</v>
      </c>
      <c r="C310" t="s">
        <v>26</v>
      </c>
      <c r="D310" t="s">
        <v>104</v>
      </c>
      <c r="E310" t="s">
        <v>19</v>
      </c>
      <c r="F310" t="s">
        <v>20</v>
      </c>
      <c r="G310" t="s">
        <v>21</v>
      </c>
      <c r="H310" t="s">
        <v>44</v>
      </c>
      <c r="I310">
        <v>4</v>
      </c>
      <c r="J310" s="7">
        <v>1200</v>
      </c>
      <c r="K310" s="8">
        <v>0.1</v>
      </c>
      <c r="L310" s="7">
        <v>4320</v>
      </c>
      <c r="M310" s="7">
        <f>RawSalesTable[[#This Row],[Sales Amount]]-RawSalesTable[[#This Row],[Quantity]]*RawSalesTable[[#This Row],[Unit Price]]</f>
        <v>-480</v>
      </c>
      <c r="N310" t="s">
        <v>58</v>
      </c>
      <c r="O310" s="9" t="s">
        <v>32</v>
      </c>
    </row>
    <row r="311" spans="1:15" x14ac:dyDescent="0.25">
      <c r="A311" s="5" t="s">
        <v>392</v>
      </c>
      <c r="B311" s="6">
        <v>45669</v>
      </c>
      <c r="C311" t="s">
        <v>53</v>
      </c>
      <c r="D311" t="s">
        <v>41</v>
      </c>
      <c r="E311" t="s">
        <v>42</v>
      </c>
      <c r="F311" t="s">
        <v>43</v>
      </c>
      <c r="G311" t="s">
        <v>77</v>
      </c>
      <c r="H311" t="s">
        <v>99</v>
      </c>
      <c r="I311">
        <v>1</v>
      </c>
      <c r="J311" s="7">
        <v>24000</v>
      </c>
      <c r="K311" s="8">
        <v>0.15</v>
      </c>
      <c r="L311" s="7">
        <v>20400</v>
      </c>
      <c r="M311" s="7">
        <f>RawSalesTable[[#This Row],[Sales Amount]]-RawSalesTable[[#This Row],[Quantity]]*RawSalesTable[[#This Row],[Unit Price]]</f>
        <v>-3600</v>
      </c>
      <c r="N311" t="s">
        <v>73</v>
      </c>
      <c r="O311" s="9" t="s">
        <v>59</v>
      </c>
    </row>
    <row r="312" spans="1:15" x14ac:dyDescent="0.25">
      <c r="A312" s="5" t="s">
        <v>393</v>
      </c>
      <c r="B312" s="6">
        <v>45854</v>
      </c>
      <c r="C312" t="s">
        <v>61</v>
      </c>
      <c r="D312" t="s">
        <v>95</v>
      </c>
      <c r="E312" t="s">
        <v>87</v>
      </c>
      <c r="F312" t="s">
        <v>20</v>
      </c>
      <c r="G312" t="s">
        <v>77</v>
      </c>
      <c r="H312" t="s">
        <v>111</v>
      </c>
      <c r="I312">
        <v>4</v>
      </c>
      <c r="J312" s="7">
        <v>29000</v>
      </c>
      <c r="K312" s="8">
        <v>0.15</v>
      </c>
      <c r="L312" s="7">
        <v>98600</v>
      </c>
      <c r="M312" s="7">
        <f>RawSalesTable[[#This Row],[Sales Amount]]-RawSalesTable[[#This Row],[Quantity]]*RawSalesTable[[#This Row],[Unit Price]]</f>
        <v>-17400</v>
      </c>
      <c r="N312" t="s">
        <v>73</v>
      </c>
      <c r="O312" s="9" t="s">
        <v>59</v>
      </c>
    </row>
    <row r="313" spans="1:15" x14ac:dyDescent="0.25">
      <c r="A313" s="5" t="s">
        <v>394</v>
      </c>
      <c r="B313" s="6">
        <v>45918</v>
      </c>
      <c r="C313" t="s">
        <v>34</v>
      </c>
      <c r="D313" t="s">
        <v>92</v>
      </c>
      <c r="E313" t="s">
        <v>42</v>
      </c>
      <c r="F313" t="s">
        <v>43</v>
      </c>
      <c r="G313" t="s">
        <v>30</v>
      </c>
      <c r="H313" t="s">
        <v>37</v>
      </c>
      <c r="I313">
        <v>2</v>
      </c>
      <c r="J313" s="7">
        <v>2800</v>
      </c>
      <c r="K313" s="8">
        <v>0.15</v>
      </c>
      <c r="L313" s="7">
        <v>4760</v>
      </c>
      <c r="M313" s="7">
        <f>RawSalesTable[[#This Row],[Sales Amount]]-RawSalesTable[[#This Row],[Quantity]]*RawSalesTable[[#This Row],[Unit Price]]</f>
        <v>-840</v>
      </c>
      <c r="N313" t="s">
        <v>50</v>
      </c>
      <c r="O313" s="9" t="s">
        <v>24</v>
      </c>
    </row>
    <row r="314" spans="1:15" x14ac:dyDescent="0.25">
      <c r="A314" s="5" t="s">
        <v>395</v>
      </c>
      <c r="B314" s="6">
        <v>45792</v>
      </c>
      <c r="C314" t="s">
        <v>94</v>
      </c>
      <c r="D314" t="s">
        <v>67</v>
      </c>
      <c r="E314" t="s">
        <v>36</v>
      </c>
      <c r="F314" t="s">
        <v>29</v>
      </c>
      <c r="G314" t="s">
        <v>54</v>
      </c>
      <c r="H314" t="s">
        <v>68</v>
      </c>
      <c r="I314">
        <v>4</v>
      </c>
      <c r="J314" s="7">
        <v>52000</v>
      </c>
      <c r="K314" s="8">
        <v>0</v>
      </c>
      <c r="L314" s="7">
        <v>208000</v>
      </c>
      <c r="M314" s="7">
        <f>RawSalesTable[[#This Row],[Sales Amount]]-RawSalesTable[[#This Row],[Quantity]]*RawSalesTable[[#This Row],[Unit Price]]</f>
        <v>0</v>
      </c>
      <c r="N314" t="s">
        <v>58</v>
      </c>
      <c r="O314" s="9" t="s">
        <v>51</v>
      </c>
    </row>
    <row r="315" spans="1:15" x14ac:dyDescent="0.25">
      <c r="A315" s="5" t="s">
        <v>396</v>
      </c>
      <c r="B315" s="6">
        <v>45840</v>
      </c>
      <c r="C315" t="s">
        <v>94</v>
      </c>
      <c r="D315" t="s">
        <v>27</v>
      </c>
      <c r="E315" t="s">
        <v>28</v>
      </c>
      <c r="F315" t="s">
        <v>29</v>
      </c>
      <c r="G315" t="s">
        <v>48</v>
      </c>
      <c r="H315" t="s">
        <v>90</v>
      </c>
      <c r="I315">
        <v>1</v>
      </c>
      <c r="J315" s="7">
        <v>14500</v>
      </c>
      <c r="K315" s="8">
        <v>0</v>
      </c>
      <c r="L315" s="7">
        <v>14500</v>
      </c>
      <c r="M315" s="7">
        <f>RawSalesTable[[#This Row],[Sales Amount]]-RawSalesTable[[#This Row],[Quantity]]*RawSalesTable[[#This Row],[Unit Price]]</f>
        <v>0</v>
      </c>
      <c r="N315" t="s">
        <v>38</v>
      </c>
      <c r="O315" s="9" t="s">
        <v>79</v>
      </c>
    </row>
    <row r="316" spans="1:15" x14ac:dyDescent="0.25">
      <c r="A316" s="5" t="s">
        <v>397</v>
      </c>
      <c r="B316" s="6">
        <v>45687</v>
      </c>
      <c r="C316" t="s">
        <v>61</v>
      </c>
      <c r="D316" t="s">
        <v>102</v>
      </c>
      <c r="E316" t="s">
        <v>36</v>
      </c>
      <c r="F316" t="s">
        <v>29</v>
      </c>
      <c r="G316" t="s">
        <v>30</v>
      </c>
      <c r="H316" t="s">
        <v>37</v>
      </c>
      <c r="I316">
        <v>4</v>
      </c>
      <c r="J316" s="7">
        <v>2800</v>
      </c>
      <c r="K316" s="8">
        <v>0.05</v>
      </c>
      <c r="L316" s="7">
        <v>10640</v>
      </c>
      <c r="M316" s="7">
        <f>RawSalesTable[[#This Row],[Sales Amount]]-RawSalesTable[[#This Row],[Quantity]]*RawSalesTable[[#This Row],[Unit Price]]</f>
        <v>-560</v>
      </c>
      <c r="N316" t="s">
        <v>38</v>
      </c>
      <c r="O316" s="9" t="s">
        <v>32</v>
      </c>
    </row>
    <row r="317" spans="1:15" x14ac:dyDescent="0.25">
      <c r="A317" s="5" t="s">
        <v>398</v>
      </c>
      <c r="B317" s="6">
        <v>45745</v>
      </c>
      <c r="C317" t="s">
        <v>94</v>
      </c>
      <c r="D317" t="s">
        <v>67</v>
      </c>
      <c r="E317" t="s">
        <v>36</v>
      </c>
      <c r="F317" t="s">
        <v>29</v>
      </c>
      <c r="G317" t="s">
        <v>30</v>
      </c>
      <c r="H317" t="s">
        <v>57</v>
      </c>
      <c r="I317">
        <v>1</v>
      </c>
      <c r="J317" s="7">
        <v>4500</v>
      </c>
      <c r="K317" s="8">
        <v>0.15</v>
      </c>
      <c r="L317" s="7">
        <v>3825</v>
      </c>
      <c r="M317" s="7">
        <f>RawSalesTable[[#This Row],[Sales Amount]]-RawSalesTable[[#This Row],[Quantity]]*RawSalesTable[[#This Row],[Unit Price]]</f>
        <v>-675</v>
      </c>
      <c r="N317" t="s">
        <v>50</v>
      </c>
      <c r="O317" s="9" t="s">
        <v>59</v>
      </c>
    </row>
    <row r="318" spans="1:15" x14ac:dyDescent="0.25">
      <c r="A318" s="5" t="s">
        <v>399</v>
      </c>
      <c r="B318" s="6">
        <v>45892</v>
      </c>
      <c r="C318" t="s">
        <v>118</v>
      </c>
      <c r="D318" t="s">
        <v>47</v>
      </c>
      <c r="E318" t="s">
        <v>19</v>
      </c>
      <c r="F318" t="s">
        <v>20</v>
      </c>
      <c r="G318" t="s">
        <v>77</v>
      </c>
      <c r="H318" t="s">
        <v>99</v>
      </c>
      <c r="I318">
        <v>1</v>
      </c>
      <c r="J318" s="7">
        <v>24000</v>
      </c>
      <c r="K318" s="8">
        <v>0</v>
      </c>
      <c r="L318" s="7">
        <v>24000</v>
      </c>
      <c r="M318" s="7">
        <f>RawSalesTable[[#This Row],[Sales Amount]]-RawSalesTable[[#This Row],[Quantity]]*RawSalesTable[[#This Row],[Unit Price]]</f>
        <v>0</v>
      </c>
      <c r="N318" t="s">
        <v>58</v>
      </c>
      <c r="O318" s="9" t="s">
        <v>74</v>
      </c>
    </row>
    <row r="319" spans="1:15" x14ac:dyDescent="0.25">
      <c r="A319" s="5" t="s">
        <v>400</v>
      </c>
      <c r="B319" s="6">
        <v>45761</v>
      </c>
      <c r="C319" t="s">
        <v>61</v>
      </c>
      <c r="D319" t="s">
        <v>95</v>
      </c>
      <c r="E319" t="s">
        <v>87</v>
      </c>
      <c r="F319" t="s">
        <v>20</v>
      </c>
      <c r="G319" t="s">
        <v>30</v>
      </c>
      <c r="H319" t="s">
        <v>57</v>
      </c>
      <c r="I319">
        <v>1</v>
      </c>
      <c r="J319" s="7">
        <v>4500</v>
      </c>
      <c r="K319" s="8">
        <v>0.15</v>
      </c>
      <c r="L319" s="7">
        <v>3825</v>
      </c>
      <c r="M319" s="7">
        <f>RawSalesTable[[#This Row],[Sales Amount]]-RawSalesTable[[#This Row],[Quantity]]*RawSalesTable[[#This Row],[Unit Price]]</f>
        <v>-675</v>
      </c>
      <c r="N319" t="s">
        <v>23</v>
      </c>
      <c r="O319" s="9" t="s">
        <v>97</v>
      </c>
    </row>
    <row r="320" spans="1:15" x14ac:dyDescent="0.25">
      <c r="A320" s="5" t="s">
        <v>401</v>
      </c>
      <c r="B320" s="6">
        <v>45801</v>
      </c>
      <c r="C320" t="s">
        <v>84</v>
      </c>
      <c r="D320" t="s">
        <v>92</v>
      </c>
      <c r="E320" t="s">
        <v>42</v>
      </c>
      <c r="F320" t="s">
        <v>43</v>
      </c>
      <c r="G320" t="s">
        <v>77</v>
      </c>
      <c r="H320" t="s">
        <v>99</v>
      </c>
      <c r="I320">
        <v>2</v>
      </c>
      <c r="J320" s="7">
        <v>24000</v>
      </c>
      <c r="K320" s="8">
        <v>0.05</v>
      </c>
      <c r="L320" s="7">
        <v>45600</v>
      </c>
      <c r="M320" s="7">
        <f>RawSalesTable[[#This Row],[Sales Amount]]-RawSalesTable[[#This Row],[Quantity]]*RawSalesTable[[#This Row],[Unit Price]]</f>
        <v>-2400</v>
      </c>
      <c r="N320" t="s">
        <v>58</v>
      </c>
      <c r="O320" s="9" t="s">
        <v>39</v>
      </c>
    </row>
    <row r="321" spans="1:15" x14ac:dyDescent="0.25">
      <c r="A321" s="5" t="s">
        <v>402</v>
      </c>
      <c r="B321" s="6">
        <v>45836</v>
      </c>
      <c r="C321" t="s">
        <v>94</v>
      </c>
      <c r="D321" t="s">
        <v>89</v>
      </c>
      <c r="E321" t="s">
        <v>87</v>
      </c>
      <c r="F321" t="s">
        <v>20</v>
      </c>
      <c r="G321" t="s">
        <v>77</v>
      </c>
      <c r="H321" t="s">
        <v>111</v>
      </c>
      <c r="I321">
        <v>2</v>
      </c>
      <c r="J321" s="7">
        <v>29000</v>
      </c>
      <c r="K321" s="8">
        <v>0.1</v>
      </c>
      <c r="L321" s="7">
        <v>52200</v>
      </c>
      <c r="M321" s="7">
        <f>RawSalesTable[[#This Row],[Sales Amount]]-RawSalesTable[[#This Row],[Quantity]]*RawSalesTable[[#This Row],[Unit Price]]</f>
        <v>-5800</v>
      </c>
      <c r="N321" t="s">
        <v>23</v>
      </c>
      <c r="O321" s="9" t="s">
        <v>97</v>
      </c>
    </row>
    <row r="322" spans="1:15" x14ac:dyDescent="0.25">
      <c r="A322" s="5" t="s">
        <v>403</v>
      </c>
      <c r="B322" s="6">
        <v>45968</v>
      </c>
      <c r="C322" t="s">
        <v>94</v>
      </c>
      <c r="D322" t="s">
        <v>95</v>
      </c>
      <c r="E322" t="s">
        <v>87</v>
      </c>
      <c r="F322" t="s">
        <v>20</v>
      </c>
      <c r="G322" t="s">
        <v>54</v>
      </c>
      <c r="H322" t="s">
        <v>55</v>
      </c>
      <c r="I322">
        <v>3</v>
      </c>
      <c r="J322" s="7">
        <v>58000</v>
      </c>
      <c r="K322" s="8">
        <v>0.1</v>
      </c>
      <c r="L322" s="7">
        <v>156600</v>
      </c>
      <c r="M322" s="7">
        <f>RawSalesTable[[#This Row],[Sales Amount]]-RawSalesTable[[#This Row],[Quantity]]*RawSalesTable[[#This Row],[Unit Price]]</f>
        <v>-17400</v>
      </c>
      <c r="N322" t="s">
        <v>73</v>
      </c>
      <c r="O322" s="9" t="s">
        <v>51</v>
      </c>
    </row>
    <row r="323" spans="1:15" x14ac:dyDescent="0.25">
      <c r="A323" s="5" t="s">
        <v>404</v>
      </c>
      <c r="B323" s="6">
        <v>45807</v>
      </c>
      <c r="C323" t="s">
        <v>94</v>
      </c>
      <c r="D323" t="s">
        <v>47</v>
      </c>
      <c r="E323" t="s">
        <v>19</v>
      </c>
      <c r="F323" t="s">
        <v>20</v>
      </c>
      <c r="G323" t="s">
        <v>48</v>
      </c>
      <c r="H323" t="s">
        <v>90</v>
      </c>
      <c r="I323">
        <v>2</v>
      </c>
      <c r="J323" s="7">
        <v>14500</v>
      </c>
      <c r="K323" s="8">
        <v>0.05</v>
      </c>
      <c r="L323" s="7">
        <v>27550</v>
      </c>
      <c r="M323" s="7">
        <f>RawSalesTable[[#This Row],[Sales Amount]]-RawSalesTable[[#This Row],[Quantity]]*RawSalesTable[[#This Row],[Unit Price]]</f>
        <v>-1450</v>
      </c>
      <c r="N323" t="s">
        <v>58</v>
      </c>
      <c r="O323" s="9" t="s">
        <v>74</v>
      </c>
    </row>
    <row r="324" spans="1:15" x14ac:dyDescent="0.25">
      <c r="A324" s="10" t="s">
        <v>405</v>
      </c>
      <c r="B324" s="11">
        <v>45805</v>
      </c>
      <c r="C324" s="12" t="s">
        <v>26</v>
      </c>
      <c r="D324" s="12" t="s">
        <v>62</v>
      </c>
      <c r="E324" s="12" t="s">
        <v>28</v>
      </c>
      <c r="F324" s="12" t="s">
        <v>29</v>
      </c>
      <c r="G324" s="12" t="s">
        <v>21</v>
      </c>
      <c r="H324" s="12" t="s">
        <v>22</v>
      </c>
      <c r="I324" s="12">
        <v>2</v>
      </c>
      <c r="J324" s="13">
        <v>1500</v>
      </c>
      <c r="K324" s="14">
        <v>0.05</v>
      </c>
      <c r="L324" s="13">
        <v>2850</v>
      </c>
      <c r="M324" s="7">
        <f>RawSalesTable[[#This Row],[Sales Amount]]-RawSalesTable[[#This Row],[Quantity]]*RawSalesTable[[#This Row],[Unit Price]]</f>
        <v>-150</v>
      </c>
      <c r="N324" s="12" t="s">
        <v>23</v>
      </c>
      <c r="O324" s="15" t="s">
        <v>97</v>
      </c>
    </row>
  </sheetData>
  <mergeCells count="1">
    <mergeCell ref="A1:O2"/>
  </mergeCells>
  <conditionalFormatting sqref="L5:L324">
    <cfRule type="dataBar" priority="2">
      <dataBar>
        <cfvo type="min"/>
        <cfvo type="max"/>
        <color rgb="FFF4A261"/>
      </dataBar>
      <extLst>
        <ext xmlns:x14="http://schemas.microsoft.com/office/spreadsheetml/2009/9/main" uri="{B025F937-C7B1-47D3-B67F-A62EFF666E3E}">
          <x14:id>{2A4488CA-7A5C-42B4-952D-19B0CB1A4FC0}</x14:id>
        </ext>
      </extLst>
    </cfRule>
    <cfRule type="dataBar" priority="3">
      <dataBar>
        <cfvo type="min"/>
        <cfvo type="max"/>
        <color rgb="FFF4A261"/>
      </dataBar>
      <extLst>
        <ext xmlns:x14="http://schemas.microsoft.com/office/spreadsheetml/2009/9/main" uri="{B025F937-C7B1-47D3-B67F-A62EFF666E3E}">
          <x14:id>{C58563F8-9867-40C2-B2CA-D8D555856D39}</x14:id>
        </ext>
      </extLst>
    </cfRule>
  </conditionalFormatting>
  <conditionalFormatting sqref="M5:M324">
    <cfRule type="colorScale" priority="4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4488CA-7A5C-42B4-952D-19B0CB1A4FC0}">
            <x14:dataBar axisPosition="none">
              <x14:cfvo type="min"/>
              <x14:cfvo type="max"/>
              <x14:negativeFillColor rgb="FFF4A261"/>
            </x14:dataBar>
          </x14:cfRule>
          <x14:cfRule type="dataBar" id="{C58563F8-9867-40C2-B2CA-D8D555856D39}">
            <x14:dataBar axisPosition="none">
              <x14:cfvo type="min"/>
              <x14:cfvo type="max"/>
              <x14:negativeFillColor rgb="FFF4A261"/>
            </x14:dataBar>
          </x14:cfRule>
          <xm:sqref>L5:L324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A3AF"/>
  </sheetPr>
  <dimension ref="A1:R324"/>
  <sheetViews>
    <sheetView zoomScaleNormal="100" workbookViewId="0">
      <selection activeCell="P8" sqref="P8"/>
    </sheetView>
  </sheetViews>
  <sheetFormatPr defaultColWidth="8.7109375" defaultRowHeight="15" x14ac:dyDescent="0.25"/>
  <cols>
    <col min="1" max="1" width="14" customWidth="1"/>
    <col min="2" max="2" width="18.140625" customWidth="1"/>
    <col min="3" max="3" width="18" customWidth="1"/>
    <col min="4" max="7" width="14" customWidth="1"/>
    <col min="8" max="8" width="20" customWidth="1"/>
    <col min="9" max="9" width="10" customWidth="1"/>
    <col min="10" max="13" width="14" customWidth="1"/>
    <col min="14" max="15" width="15" customWidth="1"/>
    <col min="16" max="18" width="14" customWidth="1"/>
  </cols>
  <sheetData>
    <row r="1" spans="1:18" x14ac:dyDescent="0.25">
      <c r="A1" s="70" t="s">
        <v>406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4" spans="1:18" ht="15" customHeight="1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407</v>
      </c>
      <c r="Q4" s="3" t="s">
        <v>408</v>
      </c>
      <c r="R4" s="4" t="s">
        <v>409</v>
      </c>
    </row>
    <row r="5" spans="1:18" x14ac:dyDescent="0.25">
      <c r="A5" s="5" t="s">
        <v>16</v>
      </c>
      <c r="B5" s="16">
        <v>45691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s="17">
        <v>2</v>
      </c>
      <c r="J5" s="7">
        <v>1500</v>
      </c>
      <c r="K5" s="8">
        <v>0</v>
      </c>
      <c r="L5" s="7">
        <v>3000</v>
      </c>
      <c r="M5" s="7">
        <f>CleanSalesTable[[#This Row],[Sales Amount]]-CleanSalesTable[[#This Row],[Unit Price]]</f>
        <v>1500</v>
      </c>
      <c r="N5" t="s">
        <v>23</v>
      </c>
      <c r="O5" t="s">
        <v>24</v>
      </c>
      <c r="P5" t="str">
        <f t="shared" ref="P5:P68" si="0">IF(L5&gt;=100000,"High",IF(L5&gt;=30000,"Medium","Low"))</f>
        <v>Low</v>
      </c>
      <c r="Q5" t="str">
        <f t="shared" ref="Q5:Q68" si="1">IF(M5&gt;0,"Profit","Loss")</f>
        <v>Profit</v>
      </c>
      <c r="R5" s="9" t="str">
        <f t="shared" ref="R5:R68" si="2">TEXT(B5,"mmm")</f>
        <v>Feb</v>
      </c>
    </row>
    <row r="6" spans="1:18" x14ac:dyDescent="0.25">
      <c r="A6" s="5" t="s">
        <v>25</v>
      </c>
      <c r="B6" s="16">
        <v>45909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s="17">
        <v>2</v>
      </c>
      <c r="J6" s="7">
        <v>3200</v>
      </c>
      <c r="K6" s="8">
        <v>0</v>
      </c>
      <c r="L6" s="7">
        <v>68400</v>
      </c>
      <c r="M6" s="7">
        <f>CleanSalesTable[[#This Row],[Sales Amount]]-CleanSalesTable[[#This Row],[Unit Price]]</f>
        <v>65200</v>
      </c>
      <c r="N6" t="s">
        <v>23</v>
      </c>
      <c r="O6" t="s">
        <v>32</v>
      </c>
      <c r="P6" t="str">
        <f t="shared" si="0"/>
        <v>Medium</v>
      </c>
      <c r="Q6" t="str">
        <f t="shared" si="1"/>
        <v>Profit</v>
      </c>
      <c r="R6" s="9" t="str">
        <f t="shared" si="2"/>
        <v>Sep</v>
      </c>
    </row>
    <row r="7" spans="1:18" x14ac:dyDescent="0.25">
      <c r="A7" s="5" t="s">
        <v>33</v>
      </c>
      <c r="B7" s="16">
        <v>45837</v>
      </c>
      <c r="C7" t="s">
        <v>34</v>
      </c>
      <c r="D7" t="s">
        <v>35</v>
      </c>
      <c r="E7" t="s">
        <v>36</v>
      </c>
      <c r="F7" t="s">
        <v>29</v>
      </c>
      <c r="G7" t="s">
        <v>30</v>
      </c>
      <c r="H7" t="s">
        <v>37</v>
      </c>
      <c r="I7" s="17">
        <v>1</v>
      </c>
      <c r="J7" s="7">
        <v>2800</v>
      </c>
      <c r="K7" s="8">
        <v>0.1</v>
      </c>
      <c r="L7" s="7">
        <v>2520</v>
      </c>
      <c r="M7" s="7">
        <f>CleanSalesTable[[#This Row],[Sales Amount]]-CleanSalesTable[[#This Row],[Unit Price]]</f>
        <v>-280</v>
      </c>
      <c r="N7" t="s">
        <v>38</v>
      </c>
      <c r="O7" t="s">
        <v>39</v>
      </c>
      <c r="P7" t="str">
        <f t="shared" si="0"/>
        <v>Low</v>
      </c>
      <c r="Q7" t="str">
        <f t="shared" si="1"/>
        <v>Loss</v>
      </c>
      <c r="R7" s="9" t="str">
        <f t="shared" si="2"/>
        <v>Jun</v>
      </c>
    </row>
    <row r="8" spans="1:18" x14ac:dyDescent="0.25">
      <c r="A8" s="5" t="s">
        <v>40</v>
      </c>
      <c r="B8" s="16">
        <v>45730</v>
      </c>
      <c r="C8" t="s">
        <v>26</v>
      </c>
      <c r="D8" t="s">
        <v>41</v>
      </c>
      <c r="E8" t="s">
        <v>42</v>
      </c>
      <c r="F8" t="s">
        <v>43</v>
      </c>
      <c r="G8" t="s">
        <v>21</v>
      </c>
      <c r="H8" t="s">
        <v>44</v>
      </c>
      <c r="I8" s="17">
        <v>2</v>
      </c>
      <c r="J8" s="7">
        <v>1200</v>
      </c>
      <c r="K8" s="8">
        <v>0.15</v>
      </c>
      <c r="L8" s="7">
        <v>2040</v>
      </c>
      <c r="M8" s="7">
        <f>CleanSalesTable[[#This Row],[Sales Amount]]-CleanSalesTable[[#This Row],[Unit Price]]</f>
        <v>840</v>
      </c>
      <c r="N8" t="s">
        <v>38</v>
      </c>
      <c r="O8" t="s">
        <v>39</v>
      </c>
      <c r="P8" t="str">
        <f t="shared" si="0"/>
        <v>Low</v>
      </c>
      <c r="Q8" t="str">
        <f t="shared" si="1"/>
        <v>Profit</v>
      </c>
      <c r="R8" s="9" t="str">
        <f t="shared" si="2"/>
        <v>Mar</v>
      </c>
    </row>
    <row r="9" spans="1:18" x14ac:dyDescent="0.25">
      <c r="A9" s="5" t="s">
        <v>45</v>
      </c>
      <c r="B9" s="16">
        <v>46020</v>
      </c>
      <c r="C9" t="s">
        <v>46</v>
      </c>
      <c r="D9" t="s">
        <v>47</v>
      </c>
      <c r="E9" t="s">
        <v>19</v>
      </c>
      <c r="F9" t="s">
        <v>20</v>
      </c>
      <c r="G9" t="s">
        <v>48</v>
      </c>
      <c r="H9" t="s">
        <v>49</v>
      </c>
      <c r="I9" s="17">
        <v>2</v>
      </c>
      <c r="J9" s="7">
        <v>13500</v>
      </c>
      <c r="K9" s="8">
        <v>0.1</v>
      </c>
      <c r="L9" s="7">
        <v>24300</v>
      </c>
      <c r="M9" s="7">
        <f>CleanSalesTable[[#This Row],[Sales Amount]]-CleanSalesTable[[#This Row],[Unit Price]]</f>
        <v>10800</v>
      </c>
      <c r="N9" t="s">
        <v>50</v>
      </c>
      <c r="O9" t="s">
        <v>51</v>
      </c>
      <c r="P9" t="str">
        <f t="shared" si="0"/>
        <v>Low</v>
      </c>
      <c r="Q9" t="str">
        <f t="shared" si="1"/>
        <v>Profit</v>
      </c>
      <c r="R9" s="9" t="str">
        <f t="shared" si="2"/>
        <v>Dec</v>
      </c>
    </row>
    <row r="10" spans="1:18" x14ac:dyDescent="0.25">
      <c r="A10" s="5" t="s">
        <v>52</v>
      </c>
      <c r="B10" s="16">
        <v>45951</v>
      </c>
      <c r="C10" t="s">
        <v>53</v>
      </c>
      <c r="D10" t="s">
        <v>41</v>
      </c>
      <c r="E10" t="s">
        <v>42</v>
      </c>
      <c r="F10" t="s">
        <v>43</v>
      </c>
      <c r="G10" t="s">
        <v>54</v>
      </c>
      <c r="H10" t="s">
        <v>55</v>
      </c>
      <c r="I10" s="17">
        <v>2</v>
      </c>
      <c r="J10" s="7">
        <v>58000</v>
      </c>
      <c r="K10" s="8">
        <v>0.05</v>
      </c>
      <c r="L10" s="7">
        <v>110200</v>
      </c>
      <c r="M10" s="7">
        <f>CleanSalesTable[[#This Row],[Sales Amount]]-CleanSalesTable[[#This Row],[Unit Price]]</f>
        <v>52200</v>
      </c>
      <c r="N10" t="s">
        <v>38</v>
      </c>
      <c r="O10" t="s">
        <v>32</v>
      </c>
      <c r="P10" t="str">
        <f t="shared" si="0"/>
        <v>High</v>
      </c>
      <c r="Q10" t="str">
        <f t="shared" si="1"/>
        <v>Profit</v>
      </c>
      <c r="R10" s="9" t="str">
        <f t="shared" si="2"/>
        <v>Oct</v>
      </c>
    </row>
    <row r="11" spans="1:18" x14ac:dyDescent="0.25">
      <c r="A11" s="5" t="s">
        <v>56</v>
      </c>
      <c r="B11" s="16">
        <v>45738</v>
      </c>
      <c r="C11" t="s">
        <v>17</v>
      </c>
      <c r="D11" t="s">
        <v>27</v>
      </c>
      <c r="E11" t="s">
        <v>28</v>
      </c>
      <c r="F11" t="s">
        <v>29</v>
      </c>
      <c r="G11" t="s">
        <v>30</v>
      </c>
      <c r="H11" t="s">
        <v>57</v>
      </c>
      <c r="I11" s="17">
        <v>1</v>
      </c>
      <c r="J11" s="7">
        <v>4500</v>
      </c>
      <c r="K11" s="8">
        <v>0.05</v>
      </c>
      <c r="L11" s="7">
        <v>4275</v>
      </c>
      <c r="M11" s="7">
        <f>CleanSalesTable[[#This Row],[Sales Amount]]-CleanSalesTable[[#This Row],[Unit Price]]</f>
        <v>-225</v>
      </c>
      <c r="N11" t="s">
        <v>58</v>
      </c>
      <c r="O11" t="s">
        <v>59</v>
      </c>
      <c r="P11" t="str">
        <f t="shared" si="0"/>
        <v>Low</v>
      </c>
      <c r="Q11" t="str">
        <f t="shared" si="1"/>
        <v>Loss</v>
      </c>
      <c r="R11" s="9" t="str">
        <f t="shared" si="2"/>
        <v>Mar</v>
      </c>
    </row>
    <row r="12" spans="1:18" x14ac:dyDescent="0.25">
      <c r="A12" s="5" t="s">
        <v>60</v>
      </c>
      <c r="B12" s="16">
        <v>45764</v>
      </c>
      <c r="C12" t="s">
        <v>61</v>
      </c>
      <c r="D12" t="s">
        <v>62</v>
      </c>
      <c r="E12" t="s">
        <v>28</v>
      </c>
      <c r="F12" t="s">
        <v>29</v>
      </c>
      <c r="G12" t="s">
        <v>54</v>
      </c>
      <c r="H12" t="s">
        <v>63</v>
      </c>
      <c r="I12" s="17">
        <v>2</v>
      </c>
      <c r="J12" s="7">
        <v>61000</v>
      </c>
      <c r="K12" s="8">
        <v>0</v>
      </c>
      <c r="L12" s="7">
        <v>122000</v>
      </c>
      <c r="M12" s="7">
        <f>CleanSalesTable[[#This Row],[Sales Amount]]-CleanSalesTable[[#This Row],[Unit Price]]</f>
        <v>61000</v>
      </c>
      <c r="N12" t="s">
        <v>23</v>
      </c>
      <c r="O12" t="s">
        <v>32</v>
      </c>
      <c r="P12" t="str">
        <f t="shared" si="0"/>
        <v>High</v>
      </c>
      <c r="Q12" t="str">
        <f t="shared" si="1"/>
        <v>Profit</v>
      </c>
      <c r="R12" s="9" t="str">
        <f t="shared" si="2"/>
        <v>Apr</v>
      </c>
    </row>
    <row r="13" spans="1:18" x14ac:dyDescent="0.25">
      <c r="A13" s="5" t="s">
        <v>64</v>
      </c>
      <c r="B13" s="16">
        <v>45812</v>
      </c>
      <c r="C13" t="s">
        <v>17</v>
      </c>
      <c r="D13" t="s">
        <v>27</v>
      </c>
      <c r="E13" t="s">
        <v>28</v>
      </c>
      <c r="F13" t="s">
        <v>29</v>
      </c>
      <c r="G13" t="s">
        <v>54</v>
      </c>
      <c r="H13" t="s">
        <v>55</v>
      </c>
      <c r="I13" s="17">
        <v>3</v>
      </c>
      <c r="J13" s="7">
        <v>58000</v>
      </c>
      <c r="K13" s="8">
        <v>0</v>
      </c>
      <c r="L13" s="7">
        <v>174000</v>
      </c>
      <c r="M13" s="7">
        <f>CleanSalesTable[[#This Row],[Sales Amount]]-CleanSalesTable[[#This Row],[Unit Price]]</f>
        <v>116000</v>
      </c>
      <c r="N13" t="s">
        <v>23</v>
      </c>
      <c r="O13" t="s">
        <v>32</v>
      </c>
      <c r="P13" t="str">
        <f t="shared" si="0"/>
        <v>High</v>
      </c>
      <c r="Q13" t="str">
        <f t="shared" si="1"/>
        <v>Profit</v>
      </c>
      <c r="R13" s="9" t="str">
        <f t="shared" si="2"/>
        <v>Jun</v>
      </c>
    </row>
    <row r="14" spans="1:18" x14ac:dyDescent="0.25">
      <c r="A14" s="5" t="s">
        <v>65</v>
      </c>
      <c r="B14" s="16">
        <v>45669</v>
      </c>
      <c r="C14" t="s">
        <v>17</v>
      </c>
      <c r="D14" t="s">
        <v>27</v>
      </c>
      <c r="E14" t="s">
        <v>28</v>
      </c>
      <c r="F14" t="s">
        <v>29</v>
      </c>
      <c r="G14" t="s">
        <v>30</v>
      </c>
      <c r="H14" t="s">
        <v>57</v>
      </c>
      <c r="I14" s="17">
        <v>1</v>
      </c>
      <c r="J14" s="7">
        <v>4500</v>
      </c>
      <c r="K14" s="8">
        <v>0.15</v>
      </c>
      <c r="L14" s="7">
        <v>3825</v>
      </c>
      <c r="M14" s="7">
        <f>CleanSalesTable[[#This Row],[Sales Amount]]-CleanSalesTable[[#This Row],[Unit Price]]</f>
        <v>-675</v>
      </c>
      <c r="N14" t="s">
        <v>58</v>
      </c>
      <c r="O14" t="s">
        <v>59</v>
      </c>
      <c r="P14" t="str">
        <f t="shared" si="0"/>
        <v>Low</v>
      </c>
      <c r="Q14" t="str">
        <f t="shared" si="1"/>
        <v>Loss</v>
      </c>
      <c r="R14" s="9" t="str">
        <f t="shared" si="2"/>
        <v>Jan</v>
      </c>
    </row>
    <row r="15" spans="1:18" x14ac:dyDescent="0.25">
      <c r="A15" s="5" t="s">
        <v>66</v>
      </c>
      <c r="B15" s="16">
        <v>45755</v>
      </c>
      <c r="C15" t="s">
        <v>17</v>
      </c>
      <c r="D15" t="s">
        <v>67</v>
      </c>
      <c r="E15" t="s">
        <v>36</v>
      </c>
      <c r="F15" t="s">
        <v>29</v>
      </c>
      <c r="G15" t="s">
        <v>54</v>
      </c>
      <c r="H15" t="s">
        <v>68</v>
      </c>
      <c r="I15" s="17">
        <v>1</v>
      </c>
      <c r="J15" s="7">
        <v>52000</v>
      </c>
      <c r="K15" s="8">
        <v>0.05</v>
      </c>
      <c r="L15" s="7">
        <v>49400</v>
      </c>
      <c r="M15" s="7">
        <f>CleanSalesTable[[#This Row],[Sales Amount]]-CleanSalesTable[[#This Row],[Unit Price]]</f>
        <v>-2600</v>
      </c>
      <c r="N15" t="s">
        <v>23</v>
      </c>
      <c r="O15" t="s">
        <v>32</v>
      </c>
      <c r="P15" t="str">
        <f t="shared" si="0"/>
        <v>Medium</v>
      </c>
      <c r="Q15" t="str">
        <f t="shared" si="1"/>
        <v>Loss</v>
      </c>
      <c r="R15" s="9" t="str">
        <f t="shared" si="2"/>
        <v>Apr</v>
      </c>
    </row>
    <row r="16" spans="1:18" x14ac:dyDescent="0.25">
      <c r="A16" s="5" t="s">
        <v>69</v>
      </c>
      <c r="B16" s="16">
        <v>45750</v>
      </c>
      <c r="C16" t="s">
        <v>70</v>
      </c>
      <c r="D16" t="s">
        <v>71</v>
      </c>
      <c r="E16" t="s">
        <v>72</v>
      </c>
      <c r="F16" t="s">
        <v>43</v>
      </c>
      <c r="G16" t="s">
        <v>30</v>
      </c>
      <c r="H16" t="s">
        <v>57</v>
      </c>
      <c r="I16" s="17">
        <v>4</v>
      </c>
      <c r="J16" s="7">
        <v>4500</v>
      </c>
      <c r="K16" s="8">
        <v>0</v>
      </c>
      <c r="L16" s="7">
        <v>18000</v>
      </c>
      <c r="M16" s="7">
        <f>CleanSalesTable[[#This Row],[Sales Amount]]-CleanSalesTable[[#This Row],[Unit Price]]</f>
        <v>13500</v>
      </c>
      <c r="N16" t="s">
        <v>73</v>
      </c>
      <c r="O16" t="s">
        <v>74</v>
      </c>
      <c r="P16" t="str">
        <f t="shared" si="0"/>
        <v>Low</v>
      </c>
      <c r="Q16" t="str">
        <f t="shared" si="1"/>
        <v>Profit</v>
      </c>
      <c r="R16" s="9" t="str">
        <f t="shared" si="2"/>
        <v>Apr</v>
      </c>
    </row>
    <row r="17" spans="1:18" x14ac:dyDescent="0.25">
      <c r="A17" s="5" t="s">
        <v>75</v>
      </c>
      <c r="B17" s="16">
        <v>45690</v>
      </c>
      <c r="C17" t="s">
        <v>70</v>
      </c>
      <c r="D17" t="s">
        <v>76</v>
      </c>
      <c r="E17" t="s">
        <v>42</v>
      </c>
      <c r="F17" t="s">
        <v>43</v>
      </c>
      <c r="G17" t="s">
        <v>77</v>
      </c>
      <c r="H17" t="s">
        <v>78</v>
      </c>
      <c r="I17" s="17">
        <v>3</v>
      </c>
      <c r="J17" s="7">
        <v>19000</v>
      </c>
      <c r="K17" s="8">
        <v>0.1</v>
      </c>
      <c r="L17" s="7">
        <v>58700</v>
      </c>
      <c r="M17" s="7">
        <f>CleanSalesTable[[#This Row],[Sales Amount]]-CleanSalesTable[[#This Row],[Unit Price]]</f>
        <v>39700</v>
      </c>
      <c r="N17" t="s">
        <v>73</v>
      </c>
      <c r="O17" t="s">
        <v>79</v>
      </c>
      <c r="P17" t="str">
        <f t="shared" si="0"/>
        <v>Medium</v>
      </c>
      <c r="Q17" t="str">
        <f t="shared" si="1"/>
        <v>Profit</v>
      </c>
      <c r="R17" s="9" t="str">
        <f t="shared" si="2"/>
        <v>Feb</v>
      </c>
    </row>
    <row r="18" spans="1:18" x14ac:dyDescent="0.25">
      <c r="A18" s="5" t="s">
        <v>80</v>
      </c>
      <c r="B18" s="16">
        <v>45967</v>
      </c>
      <c r="C18" t="s">
        <v>61</v>
      </c>
      <c r="D18" t="s">
        <v>81</v>
      </c>
      <c r="E18" t="s">
        <v>72</v>
      </c>
      <c r="F18" t="s">
        <v>43</v>
      </c>
      <c r="G18" t="s">
        <v>21</v>
      </c>
      <c r="H18" t="s">
        <v>82</v>
      </c>
      <c r="I18" s="17">
        <v>2</v>
      </c>
      <c r="J18" s="7">
        <v>900</v>
      </c>
      <c r="K18" s="8">
        <v>0.1</v>
      </c>
      <c r="L18" s="7">
        <v>1620</v>
      </c>
      <c r="M18" s="7">
        <f>CleanSalesTable[[#This Row],[Sales Amount]]-CleanSalesTable[[#This Row],[Unit Price]]</f>
        <v>720</v>
      </c>
      <c r="N18" t="s">
        <v>73</v>
      </c>
      <c r="O18" t="s">
        <v>74</v>
      </c>
      <c r="P18" t="str">
        <f t="shared" si="0"/>
        <v>Low</v>
      </c>
      <c r="Q18" t="str">
        <f t="shared" si="1"/>
        <v>Profit</v>
      </c>
      <c r="R18" s="9" t="str">
        <f t="shared" si="2"/>
        <v>Nov</v>
      </c>
    </row>
    <row r="19" spans="1:18" x14ac:dyDescent="0.25">
      <c r="A19" s="5" t="s">
        <v>83</v>
      </c>
      <c r="B19" s="16">
        <v>45817</v>
      </c>
      <c r="C19" t="s">
        <v>84</v>
      </c>
      <c r="D19" t="s">
        <v>35</v>
      </c>
      <c r="E19" t="s">
        <v>36</v>
      </c>
      <c r="F19" t="s">
        <v>29</v>
      </c>
      <c r="G19" t="s">
        <v>21</v>
      </c>
      <c r="H19" t="s">
        <v>82</v>
      </c>
      <c r="I19" s="17">
        <v>4</v>
      </c>
      <c r="J19" s="7">
        <v>900</v>
      </c>
      <c r="K19" s="8">
        <v>0</v>
      </c>
      <c r="L19" s="7">
        <v>3600</v>
      </c>
      <c r="M19" s="7">
        <f>CleanSalesTable[[#This Row],[Sales Amount]]-CleanSalesTable[[#This Row],[Unit Price]]</f>
        <v>2700</v>
      </c>
      <c r="N19" t="s">
        <v>38</v>
      </c>
      <c r="O19" t="s">
        <v>74</v>
      </c>
      <c r="P19" t="str">
        <f t="shared" si="0"/>
        <v>Low</v>
      </c>
      <c r="Q19" t="str">
        <f t="shared" si="1"/>
        <v>Profit</v>
      </c>
      <c r="R19" s="9" t="str">
        <f t="shared" si="2"/>
        <v>Jun</v>
      </c>
    </row>
    <row r="20" spans="1:18" x14ac:dyDescent="0.25">
      <c r="A20" s="5" t="s">
        <v>85</v>
      </c>
      <c r="B20" s="16">
        <v>45949</v>
      </c>
      <c r="C20" t="s">
        <v>34</v>
      </c>
      <c r="D20" t="s">
        <v>86</v>
      </c>
      <c r="E20" t="s">
        <v>87</v>
      </c>
      <c r="F20" t="s">
        <v>20</v>
      </c>
      <c r="G20" t="s">
        <v>77</v>
      </c>
      <c r="H20" t="s">
        <v>78</v>
      </c>
      <c r="I20" s="17">
        <v>2</v>
      </c>
      <c r="J20" s="7">
        <v>21000</v>
      </c>
      <c r="K20" s="8">
        <v>0.05</v>
      </c>
      <c r="L20" s="7">
        <v>39900</v>
      </c>
      <c r="M20" s="7">
        <f>CleanSalesTable[[#This Row],[Sales Amount]]-CleanSalesTable[[#This Row],[Unit Price]]</f>
        <v>18900</v>
      </c>
      <c r="N20" t="s">
        <v>58</v>
      </c>
      <c r="O20" t="s">
        <v>32</v>
      </c>
      <c r="P20" t="str">
        <f t="shared" si="0"/>
        <v>Medium</v>
      </c>
      <c r="Q20" t="str">
        <f t="shared" si="1"/>
        <v>Profit</v>
      </c>
      <c r="R20" s="9" t="str">
        <f t="shared" si="2"/>
        <v>Oct</v>
      </c>
    </row>
    <row r="21" spans="1:18" x14ac:dyDescent="0.25">
      <c r="A21" s="5" t="s">
        <v>88</v>
      </c>
      <c r="B21" s="16">
        <v>45880</v>
      </c>
      <c r="C21" t="s">
        <v>70</v>
      </c>
      <c r="D21" t="s">
        <v>89</v>
      </c>
      <c r="E21" t="s">
        <v>87</v>
      </c>
      <c r="F21" t="s">
        <v>20</v>
      </c>
      <c r="G21" t="s">
        <v>48</v>
      </c>
      <c r="H21" t="s">
        <v>90</v>
      </c>
      <c r="I21" s="17">
        <v>1</v>
      </c>
      <c r="J21" s="7">
        <v>14500</v>
      </c>
      <c r="K21" s="8">
        <v>0</v>
      </c>
      <c r="L21" s="7">
        <v>14500</v>
      </c>
      <c r="M21" s="7">
        <f>CleanSalesTable[[#This Row],[Sales Amount]]-CleanSalesTable[[#This Row],[Unit Price]]</f>
        <v>0</v>
      </c>
      <c r="N21" t="s">
        <v>50</v>
      </c>
      <c r="O21" t="s">
        <v>51</v>
      </c>
      <c r="P21" t="str">
        <f t="shared" si="0"/>
        <v>Low</v>
      </c>
      <c r="Q21" t="str">
        <f t="shared" si="1"/>
        <v>Loss</v>
      </c>
      <c r="R21" s="9" t="str">
        <f t="shared" si="2"/>
        <v>Aug</v>
      </c>
    </row>
    <row r="22" spans="1:18" x14ac:dyDescent="0.25">
      <c r="A22" s="5" t="s">
        <v>91</v>
      </c>
      <c r="B22" s="16">
        <v>45742</v>
      </c>
      <c r="C22" t="s">
        <v>84</v>
      </c>
      <c r="D22" t="s">
        <v>92</v>
      </c>
      <c r="E22" t="s">
        <v>42</v>
      </c>
      <c r="F22" t="s">
        <v>43</v>
      </c>
      <c r="G22" t="s">
        <v>30</v>
      </c>
      <c r="H22" t="s">
        <v>31</v>
      </c>
      <c r="I22" s="17">
        <v>3</v>
      </c>
      <c r="J22" s="7">
        <v>3200</v>
      </c>
      <c r="K22" s="8">
        <v>0</v>
      </c>
      <c r="L22" s="7">
        <v>9600</v>
      </c>
      <c r="M22" s="7">
        <f>CleanSalesTable[[#This Row],[Sales Amount]]-CleanSalesTable[[#This Row],[Unit Price]]</f>
        <v>6400</v>
      </c>
      <c r="N22" t="s">
        <v>73</v>
      </c>
      <c r="O22" t="s">
        <v>79</v>
      </c>
      <c r="P22" t="str">
        <f t="shared" si="0"/>
        <v>Low</v>
      </c>
      <c r="Q22" t="str">
        <f t="shared" si="1"/>
        <v>Profit</v>
      </c>
      <c r="R22" s="9" t="str">
        <f t="shared" si="2"/>
        <v>Mar</v>
      </c>
    </row>
    <row r="23" spans="1:18" x14ac:dyDescent="0.25">
      <c r="A23" s="5" t="s">
        <v>93</v>
      </c>
      <c r="B23" s="16">
        <v>45683</v>
      </c>
      <c r="C23" t="s">
        <v>94</v>
      </c>
      <c r="D23" t="s">
        <v>95</v>
      </c>
      <c r="E23" t="s">
        <v>87</v>
      </c>
      <c r="F23" t="s">
        <v>20</v>
      </c>
      <c r="G23" t="s">
        <v>48</v>
      </c>
      <c r="H23" t="s">
        <v>90</v>
      </c>
      <c r="I23" s="17">
        <v>4</v>
      </c>
      <c r="J23" s="7">
        <v>14500</v>
      </c>
      <c r="K23" s="8">
        <v>0.15</v>
      </c>
      <c r="L23" s="7">
        <v>49300</v>
      </c>
      <c r="M23" s="7">
        <f>CleanSalesTable[[#This Row],[Sales Amount]]-CleanSalesTable[[#This Row],[Unit Price]]</f>
        <v>34800</v>
      </c>
      <c r="N23" t="s">
        <v>50</v>
      </c>
      <c r="O23" t="s">
        <v>74</v>
      </c>
      <c r="P23" t="str">
        <f t="shared" si="0"/>
        <v>Medium</v>
      </c>
      <c r="Q23" t="str">
        <f t="shared" si="1"/>
        <v>Profit</v>
      </c>
      <c r="R23" s="9" t="str">
        <f t="shared" si="2"/>
        <v>Jan</v>
      </c>
    </row>
    <row r="24" spans="1:18" x14ac:dyDescent="0.25">
      <c r="A24" s="5" t="s">
        <v>96</v>
      </c>
      <c r="B24" s="16">
        <v>45826</v>
      </c>
      <c r="C24" t="s">
        <v>84</v>
      </c>
      <c r="D24" t="s">
        <v>71</v>
      </c>
      <c r="E24" t="s">
        <v>72</v>
      </c>
      <c r="F24" t="s">
        <v>43</v>
      </c>
      <c r="G24" t="s">
        <v>48</v>
      </c>
      <c r="H24" t="s">
        <v>90</v>
      </c>
      <c r="I24" s="17">
        <v>4</v>
      </c>
      <c r="J24" s="7">
        <v>14500</v>
      </c>
      <c r="K24" s="8">
        <v>0.05</v>
      </c>
      <c r="L24" s="7">
        <v>55100</v>
      </c>
      <c r="M24" s="7">
        <f>CleanSalesTable[[#This Row],[Sales Amount]]-CleanSalesTable[[#This Row],[Unit Price]]</f>
        <v>40600</v>
      </c>
      <c r="N24" t="s">
        <v>58</v>
      </c>
      <c r="O24" t="s">
        <v>97</v>
      </c>
      <c r="P24" t="str">
        <f t="shared" si="0"/>
        <v>Medium</v>
      </c>
      <c r="Q24" t="str">
        <f t="shared" si="1"/>
        <v>Profit</v>
      </c>
      <c r="R24" s="9" t="str">
        <f t="shared" si="2"/>
        <v>Jun</v>
      </c>
    </row>
    <row r="25" spans="1:18" x14ac:dyDescent="0.25">
      <c r="A25" s="5" t="s">
        <v>98</v>
      </c>
      <c r="B25" s="16">
        <v>45924</v>
      </c>
      <c r="C25" t="s">
        <v>94</v>
      </c>
      <c r="D25" t="s">
        <v>47</v>
      </c>
      <c r="E25" t="s">
        <v>19</v>
      </c>
      <c r="F25" t="s">
        <v>20</v>
      </c>
      <c r="G25" t="s">
        <v>77</v>
      </c>
      <c r="H25" t="s">
        <v>99</v>
      </c>
      <c r="I25" s="17">
        <v>3</v>
      </c>
      <c r="J25" s="7">
        <v>24000</v>
      </c>
      <c r="K25" s="8">
        <v>0</v>
      </c>
      <c r="L25" s="7">
        <v>72000</v>
      </c>
      <c r="M25" s="7">
        <f>CleanSalesTable[[#This Row],[Sales Amount]]-CleanSalesTable[[#This Row],[Unit Price]]</f>
        <v>48000</v>
      </c>
      <c r="N25" t="s">
        <v>50</v>
      </c>
      <c r="O25" t="s">
        <v>97</v>
      </c>
      <c r="P25" t="str">
        <f t="shared" si="0"/>
        <v>Medium</v>
      </c>
      <c r="Q25" t="str">
        <f t="shared" si="1"/>
        <v>Profit</v>
      </c>
      <c r="R25" s="9" t="str">
        <f t="shared" si="2"/>
        <v>Sep</v>
      </c>
    </row>
    <row r="26" spans="1:18" x14ac:dyDescent="0.25">
      <c r="A26" s="5" t="s">
        <v>100</v>
      </c>
      <c r="B26" s="16">
        <v>45682</v>
      </c>
      <c r="C26" t="s">
        <v>46</v>
      </c>
      <c r="D26" t="s">
        <v>86</v>
      </c>
      <c r="E26" t="s">
        <v>87</v>
      </c>
      <c r="F26" t="s">
        <v>20</v>
      </c>
      <c r="G26" t="s">
        <v>54</v>
      </c>
      <c r="H26" t="s">
        <v>68</v>
      </c>
      <c r="I26" s="17">
        <v>1</v>
      </c>
      <c r="J26" s="7">
        <v>52000</v>
      </c>
      <c r="K26" s="8">
        <v>0.15</v>
      </c>
      <c r="L26" s="7">
        <v>44200</v>
      </c>
      <c r="M26" s="7">
        <f>CleanSalesTable[[#This Row],[Sales Amount]]-CleanSalesTable[[#This Row],[Unit Price]]</f>
        <v>-7800</v>
      </c>
      <c r="N26" t="s">
        <v>73</v>
      </c>
      <c r="O26" t="s">
        <v>59</v>
      </c>
      <c r="P26" t="str">
        <f t="shared" si="0"/>
        <v>Medium</v>
      </c>
      <c r="Q26" t="str">
        <f t="shared" si="1"/>
        <v>Loss</v>
      </c>
      <c r="R26" s="9" t="str">
        <f t="shared" si="2"/>
        <v>Jan</v>
      </c>
    </row>
    <row r="27" spans="1:18" x14ac:dyDescent="0.25">
      <c r="A27" s="5" t="s">
        <v>101</v>
      </c>
      <c r="B27" s="16">
        <v>45994</v>
      </c>
      <c r="C27" t="s">
        <v>53</v>
      </c>
      <c r="D27" t="s">
        <v>102</v>
      </c>
      <c r="E27" t="s">
        <v>36</v>
      </c>
      <c r="F27" t="s">
        <v>29</v>
      </c>
      <c r="G27" t="s">
        <v>30</v>
      </c>
      <c r="H27" t="s">
        <v>31</v>
      </c>
      <c r="I27" s="17">
        <v>2</v>
      </c>
      <c r="J27" s="7">
        <v>3200</v>
      </c>
      <c r="K27" s="8">
        <v>0.05</v>
      </c>
      <c r="L27" s="7">
        <v>6080</v>
      </c>
      <c r="M27" s="7">
        <f>CleanSalesTable[[#This Row],[Sales Amount]]-CleanSalesTable[[#This Row],[Unit Price]]</f>
        <v>2880</v>
      </c>
      <c r="N27" t="s">
        <v>38</v>
      </c>
      <c r="O27" t="s">
        <v>24</v>
      </c>
      <c r="P27" t="str">
        <f t="shared" si="0"/>
        <v>Low</v>
      </c>
      <c r="Q27" t="str">
        <f t="shared" si="1"/>
        <v>Profit</v>
      </c>
      <c r="R27" s="9" t="str">
        <f t="shared" si="2"/>
        <v>Dec</v>
      </c>
    </row>
    <row r="28" spans="1:18" x14ac:dyDescent="0.25">
      <c r="A28" s="5" t="s">
        <v>103</v>
      </c>
      <c r="B28" s="16">
        <v>45690</v>
      </c>
      <c r="C28" t="s">
        <v>61</v>
      </c>
      <c r="D28" t="s">
        <v>104</v>
      </c>
      <c r="E28" t="s">
        <v>19</v>
      </c>
      <c r="F28" t="s">
        <v>20</v>
      </c>
      <c r="G28" t="s">
        <v>48</v>
      </c>
      <c r="H28" t="s">
        <v>105</v>
      </c>
      <c r="I28" s="17">
        <v>3</v>
      </c>
      <c r="J28" s="7">
        <v>21000</v>
      </c>
      <c r="K28" s="8">
        <v>0.15</v>
      </c>
      <c r="L28" s="7">
        <v>53550</v>
      </c>
      <c r="M28" s="7">
        <f>CleanSalesTable[[#This Row],[Sales Amount]]-CleanSalesTable[[#This Row],[Unit Price]]</f>
        <v>32550</v>
      </c>
      <c r="N28" t="s">
        <v>50</v>
      </c>
      <c r="O28" t="s">
        <v>24</v>
      </c>
      <c r="P28" t="str">
        <f t="shared" si="0"/>
        <v>Medium</v>
      </c>
      <c r="Q28" t="str">
        <f t="shared" si="1"/>
        <v>Profit</v>
      </c>
      <c r="R28" s="9" t="str">
        <f t="shared" si="2"/>
        <v>Feb</v>
      </c>
    </row>
    <row r="29" spans="1:18" x14ac:dyDescent="0.25">
      <c r="A29" s="5" t="s">
        <v>106</v>
      </c>
      <c r="B29" s="16">
        <v>45992</v>
      </c>
      <c r="C29" t="s">
        <v>94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s="17">
        <v>2</v>
      </c>
      <c r="J29" s="7">
        <v>1500</v>
      </c>
      <c r="K29" s="8">
        <v>0.15</v>
      </c>
      <c r="L29" s="7">
        <v>2550</v>
      </c>
      <c r="M29" s="7">
        <f>CleanSalesTable[[#This Row],[Sales Amount]]-CleanSalesTable[[#This Row],[Unit Price]]</f>
        <v>1050</v>
      </c>
      <c r="N29" t="s">
        <v>23</v>
      </c>
      <c r="O29" t="s">
        <v>74</v>
      </c>
      <c r="P29" t="str">
        <f t="shared" si="0"/>
        <v>Low</v>
      </c>
      <c r="Q29" t="str">
        <f t="shared" si="1"/>
        <v>Profit</v>
      </c>
      <c r="R29" s="9" t="str">
        <f t="shared" si="2"/>
        <v>Dec</v>
      </c>
    </row>
    <row r="30" spans="1:18" x14ac:dyDescent="0.25">
      <c r="A30" s="5" t="s">
        <v>107</v>
      </c>
      <c r="B30" s="16">
        <v>45986</v>
      </c>
      <c r="C30" t="s">
        <v>46</v>
      </c>
      <c r="D30" t="s">
        <v>41</v>
      </c>
      <c r="E30" t="s">
        <v>42</v>
      </c>
      <c r="F30" t="s">
        <v>43</v>
      </c>
      <c r="G30" t="s">
        <v>21</v>
      </c>
      <c r="H30" t="s">
        <v>82</v>
      </c>
      <c r="I30" s="17">
        <v>3</v>
      </c>
      <c r="J30" s="7">
        <v>900</v>
      </c>
      <c r="K30" s="8">
        <v>0.05</v>
      </c>
      <c r="L30" s="7">
        <v>2565</v>
      </c>
      <c r="M30" s="7">
        <f>CleanSalesTable[[#This Row],[Sales Amount]]-CleanSalesTable[[#This Row],[Unit Price]]</f>
        <v>1665</v>
      </c>
      <c r="N30" t="s">
        <v>38</v>
      </c>
      <c r="O30" t="s">
        <v>59</v>
      </c>
      <c r="P30" t="str">
        <f t="shared" si="0"/>
        <v>Low</v>
      </c>
      <c r="Q30" t="str">
        <f t="shared" si="1"/>
        <v>Profit</v>
      </c>
      <c r="R30" s="9" t="str">
        <f t="shared" si="2"/>
        <v>Nov</v>
      </c>
    </row>
    <row r="31" spans="1:18" x14ac:dyDescent="0.25">
      <c r="A31" s="5" t="s">
        <v>108</v>
      </c>
      <c r="B31" s="16">
        <v>45927</v>
      </c>
      <c r="C31" t="s">
        <v>61</v>
      </c>
      <c r="D31" t="s">
        <v>27</v>
      </c>
      <c r="E31" t="s">
        <v>28</v>
      </c>
      <c r="F31" t="s">
        <v>29</v>
      </c>
      <c r="G31" t="s">
        <v>21</v>
      </c>
      <c r="H31" t="s">
        <v>82</v>
      </c>
      <c r="I31" s="17">
        <v>2</v>
      </c>
      <c r="J31" s="7">
        <v>900</v>
      </c>
      <c r="K31" s="8">
        <v>0</v>
      </c>
      <c r="L31" s="7">
        <v>1800</v>
      </c>
      <c r="M31" s="7">
        <f>CleanSalesTable[[#This Row],[Sales Amount]]-CleanSalesTable[[#This Row],[Unit Price]]</f>
        <v>900</v>
      </c>
      <c r="N31" t="s">
        <v>23</v>
      </c>
      <c r="O31" t="s">
        <v>51</v>
      </c>
      <c r="P31" t="str">
        <f t="shared" si="0"/>
        <v>Low</v>
      </c>
      <c r="Q31" t="str">
        <f t="shared" si="1"/>
        <v>Profit</v>
      </c>
      <c r="R31" s="9" t="str">
        <f t="shared" si="2"/>
        <v>Sep</v>
      </c>
    </row>
    <row r="32" spans="1:18" x14ac:dyDescent="0.25">
      <c r="A32" s="5" t="s">
        <v>109</v>
      </c>
      <c r="B32" s="16">
        <v>45736</v>
      </c>
      <c r="C32" t="s">
        <v>94</v>
      </c>
      <c r="D32" t="s">
        <v>110</v>
      </c>
      <c r="E32" t="s">
        <v>72</v>
      </c>
      <c r="F32" t="s">
        <v>43</v>
      </c>
      <c r="G32" t="s">
        <v>77</v>
      </c>
      <c r="H32" t="s">
        <v>111</v>
      </c>
      <c r="I32" s="17">
        <v>1</v>
      </c>
      <c r="J32" s="7">
        <v>29000</v>
      </c>
      <c r="K32" s="8">
        <v>0</v>
      </c>
      <c r="L32" s="7">
        <v>29000</v>
      </c>
      <c r="M32" s="7">
        <f>CleanSalesTable[[#This Row],[Sales Amount]]-CleanSalesTable[[#This Row],[Unit Price]]</f>
        <v>0</v>
      </c>
      <c r="N32" t="s">
        <v>50</v>
      </c>
      <c r="O32" t="s">
        <v>97</v>
      </c>
      <c r="P32" t="str">
        <f t="shared" si="0"/>
        <v>Low</v>
      </c>
      <c r="Q32" t="str">
        <f t="shared" si="1"/>
        <v>Loss</v>
      </c>
      <c r="R32" s="9" t="str">
        <f t="shared" si="2"/>
        <v>Mar</v>
      </c>
    </row>
    <row r="33" spans="1:18" x14ac:dyDescent="0.25">
      <c r="A33" s="5" t="s">
        <v>112</v>
      </c>
      <c r="B33" s="16">
        <v>45988</v>
      </c>
      <c r="C33" t="s">
        <v>34</v>
      </c>
      <c r="D33" t="s">
        <v>35</v>
      </c>
      <c r="E33" t="s">
        <v>36</v>
      </c>
      <c r="F33" t="s">
        <v>29</v>
      </c>
      <c r="G33" t="s">
        <v>21</v>
      </c>
      <c r="H33" t="s">
        <v>44</v>
      </c>
      <c r="I33" s="17">
        <v>1</v>
      </c>
      <c r="J33" s="7">
        <v>1200</v>
      </c>
      <c r="K33" s="8">
        <v>0</v>
      </c>
      <c r="L33" s="7">
        <v>1200</v>
      </c>
      <c r="M33" s="7">
        <f>CleanSalesTable[[#This Row],[Sales Amount]]-CleanSalesTable[[#This Row],[Unit Price]]</f>
        <v>0</v>
      </c>
      <c r="N33" t="s">
        <v>38</v>
      </c>
      <c r="O33" t="s">
        <v>32</v>
      </c>
      <c r="P33" t="str">
        <f t="shared" si="0"/>
        <v>Low</v>
      </c>
      <c r="Q33" t="str">
        <f t="shared" si="1"/>
        <v>Loss</v>
      </c>
      <c r="R33" s="9" t="str">
        <f t="shared" si="2"/>
        <v>Nov</v>
      </c>
    </row>
    <row r="34" spans="1:18" x14ac:dyDescent="0.25">
      <c r="A34" s="5" t="s">
        <v>113</v>
      </c>
      <c r="B34" s="16">
        <v>45669</v>
      </c>
      <c r="C34" t="s">
        <v>94</v>
      </c>
      <c r="D34" t="s">
        <v>81</v>
      </c>
      <c r="E34" t="s">
        <v>72</v>
      </c>
      <c r="F34" t="s">
        <v>43</v>
      </c>
      <c r="G34" t="s">
        <v>48</v>
      </c>
      <c r="H34" t="s">
        <v>105</v>
      </c>
      <c r="I34" s="17">
        <v>2</v>
      </c>
      <c r="J34" s="7">
        <v>21000</v>
      </c>
      <c r="K34" s="8">
        <v>0</v>
      </c>
      <c r="L34" s="7">
        <v>42000</v>
      </c>
      <c r="M34" s="7">
        <f>CleanSalesTable[[#This Row],[Sales Amount]]-CleanSalesTable[[#This Row],[Unit Price]]</f>
        <v>21000</v>
      </c>
      <c r="N34" t="s">
        <v>73</v>
      </c>
      <c r="O34" t="s">
        <v>39</v>
      </c>
      <c r="P34" t="str">
        <f t="shared" si="0"/>
        <v>Medium</v>
      </c>
      <c r="Q34" t="str">
        <f t="shared" si="1"/>
        <v>Profit</v>
      </c>
      <c r="R34" s="9" t="str">
        <f t="shared" si="2"/>
        <v>Jan</v>
      </c>
    </row>
    <row r="35" spans="1:18" x14ac:dyDescent="0.25">
      <c r="A35" s="5" t="s">
        <v>114</v>
      </c>
      <c r="B35" s="16">
        <v>45669</v>
      </c>
      <c r="C35" t="s">
        <v>70</v>
      </c>
      <c r="D35" t="s">
        <v>86</v>
      </c>
      <c r="E35" t="s">
        <v>87</v>
      </c>
      <c r="F35" t="s">
        <v>20</v>
      </c>
      <c r="G35" t="s">
        <v>54</v>
      </c>
      <c r="H35" t="s">
        <v>55</v>
      </c>
      <c r="I35" s="17">
        <v>1</v>
      </c>
      <c r="J35" s="7">
        <v>58000</v>
      </c>
      <c r="K35" s="8">
        <v>0.15</v>
      </c>
      <c r="L35" s="7">
        <v>49300</v>
      </c>
      <c r="M35" s="7">
        <f>CleanSalesTable[[#This Row],[Sales Amount]]-CleanSalesTable[[#This Row],[Unit Price]]</f>
        <v>-8700</v>
      </c>
      <c r="N35" t="s">
        <v>50</v>
      </c>
      <c r="O35" t="s">
        <v>32</v>
      </c>
      <c r="P35" t="str">
        <f t="shared" si="0"/>
        <v>Medium</v>
      </c>
      <c r="Q35" t="str">
        <f t="shared" si="1"/>
        <v>Loss</v>
      </c>
      <c r="R35" s="9" t="str">
        <f t="shared" si="2"/>
        <v>Jan</v>
      </c>
    </row>
    <row r="36" spans="1:18" x14ac:dyDescent="0.25">
      <c r="A36" s="5" t="s">
        <v>115</v>
      </c>
      <c r="B36" s="16">
        <v>45944</v>
      </c>
      <c r="C36" t="s">
        <v>17</v>
      </c>
      <c r="D36" t="s">
        <v>81</v>
      </c>
      <c r="E36" t="s">
        <v>72</v>
      </c>
      <c r="F36" t="s">
        <v>43</v>
      </c>
      <c r="G36" t="s">
        <v>48</v>
      </c>
      <c r="H36" t="s">
        <v>49</v>
      </c>
      <c r="I36" s="17">
        <v>2</v>
      </c>
      <c r="J36" s="7">
        <v>13500</v>
      </c>
      <c r="K36" s="8">
        <v>0</v>
      </c>
      <c r="L36" s="7">
        <v>27000</v>
      </c>
      <c r="M36" s="7">
        <f>CleanSalesTable[[#This Row],[Sales Amount]]-CleanSalesTable[[#This Row],[Unit Price]]</f>
        <v>13500</v>
      </c>
      <c r="N36" t="s">
        <v>38</v>
      </c>
      <c r="O36" t="s">
        <v>51</v>
      </c>
      <c r="P36" t="str">
        <f t="shared" si="0"/>
        <v>Low</v>
      </c>
      <c r="Q36" t="str">
        <f t="shared" si="1"/>
        <v>Profit</v>
      </c>
      <c r="R36" s="9" t="str">
        <f t="shared" si="2"/>
        <v>Oct</v>
      </c>
    </row>
    <row r="37" spans="1:18" x14ac:dyDescent="0.25">
      <c r="A37" s="5" t="s">
        <v>116</v>
      </c>
      <c r="B37" s="16">
        <v>45826</v>
      </c>
      <c r="C37" t="s">
        <v>61</v>
      </c>
      <c r="D37" t="s">
        <v>62</v>
      </c>
      <c r="E37" t="s">
        <v>28</v>
      </c>
      <c r="F37" t="s">
        <v>29</v>
      </c>
      <c r="G37" t="s">
        <v>48</v>
      </c>
      <c r="H37" t="s">
        <v>49</v>
      </c>
      <c r="I37" s="17">
        <v>4</v>
      </c>
      <c r="J37" s="7">
        <v>13500</v>
      </c>
      <c r="K37" s="8">
        <v>0</v>
      </c>
      <c r="L37" s="7">
        <v>54000</v>
      </c>
      <c r="M37" s="7">
        <f>CleanSalesTable[[#This Row],[Sales Amount]]-CleanSalesTable[[#This Row],[Unit Price]]</f>
        <v>40500</v>
      </c>
      <c r="N37" t="s">
        <v>50</v>
      </c>
      <c r="O37" t="s">
        <v>39</v>
      </c>
      <c r="P37" t="str">
        <f t="shared" si="0"/>
        <v>Medium</v>
      </c>
      <c r="Q37" t="str">
        <f t="shared" si="1"/>
        <v>Profit</v>
      </c>
      <c r="R37" s="9" t="str">
        <f t="shared" si="2"/>
        <v>Jun</v>
      </c>
    </row>
    <row r="38" spans="1:18" x14ac:dyDescent="0.25">
      <c r="A38" s="5" t="s">
        <v>117</v>
      </c>
      <c r="B38" s="16">
        <v>45756</v>
      </c>
      <c r="C38" t="s">
        <v>118</v>
      </c>
      <c r="D38" t="s">
        <v>104</v>
      </c>
      <c r="E38" t="s">
        <v>19</v>
      </c>
      <c r="F38" t="s">
        <v>20</v>
      </c>
      <c r="G38" t="s">
        <v>77</v>
      </c>
      <c r="H38" t="s">
        <v>78</v>
      </c>
      <c r="I38" s="17">
        <v>3</v>
      </c>
      <c r="J38" s="7">
        <v>21000</v>
      </c>
      <c r="K38" s="8">
        <v>0.05</v>
      </c>
      <c r="L38" s="7">
        <v>59850</v>
      </c>
      <c r="M38" s="7">
        <f>CleanSalesTable[[#This Row],[Sales Amount]]-CleanSalesTable[[#This Row],[Unit Price]]</f>
        <v>38850</v>
      </c>
      <c r="N38" t="s">
        <v>23</v>
      </c>
      <c r="O38" t="s">
        <v>59</v>
      </c>
      <c r="P38" t="str">
        <f t="shared" si="0"/>
        <v>Medium</v>
      </c>
      <c r="Q38" t="str">
        <f t="shared" si="1"/>
        <v>Profit</v>
      </c>
      <c r="R38" s="9" t="str">
        <f t="shared" si="2"/>
        <v>Apr</v>
      </c>
    </row>
    <row r="39" spans="1:18" x14ac:dyDescent="0.25">
      <c r="A39" s="5" t="s">
        <v>119</v>
      </c>
      <c r="B39" s="16">
        <v>45985</v>
      </c>
      <c r="C39" t="s">
        <v>53</v>
      </c>
      <c r="D39" t="s">
        <v>102</v>
      </c>
      <c r="E39" t="s">
        <v>36</v>
      </c>
      <c r="F39" t="s">
        <v>29</v>
      </c>
      <c r="G39" t="s">
        <v>54</v>
      </c>
      <c r="H39" t="s">
        <v>55</v>
      </c>
      <c r="I39" s="17">
        <v>4</v>
      </c>
      <c r="J39" s="7">
        <v>58000</v>
      </c>
      <c r="K39" s="8">
        <v>0.1</v>
      </c>
      <c r="L39" s="7">
        <v>208800</v>
      </c>
      <c r="M39" s="7">
        <f>CleanSalesTable[[#This Row],[Sales Amount]]-CleanSalesTable[[#This Row],[Unit Price]]</f>
        <v>150800</v>
      </c>
      <c r="N39" t="s">
        <v>38</v>
      </c>
      <c r="O39" t="s">
        <v>24</v>
      </c>
      <c r="P39" t="str">
        <f t="shared" si="0"/>
        <v>High</v>
      </c>
      <c r="Q39" t="str">
        <f t="shared" si="1"/>
        <v>Profit</v>
      </c>
      <c r="R39" s="9" t="str">
        <f t="shared" si="2"/>
        <v>Nov</v>
      </c>
    </row>
    <row r="40" spans="1:18" x14ac:dyDescent="0.25">
      <c r="A40" s="5" t="s">
        <v>120</v>
      </c>
      <c r="B40" s="16">
        <v>46009</v>
      </c>
      <c r="C40" t="s">
        <v>118</v>
      </c>
      <c r="D40" t="s">
        <v>86</v>
      </c>
      <c r="E40" t="s">
        <v>87</v>
      </c>
      <c r="F40" t="s">
        <v>20</v>
      </c>
      <c r="G40" t="s">
        <v>77</v>
      </c>
      <c r="H40" t="s">
        <v>99</v>
      </c>
      <c r="I40" s="17">
        <v>1</v>
      </c>
      <c r="J40" s="7">
        <v>24000</v>
      </c>
      <c r="K40" s="8">
        <v>0</v>
      </c>
      <c r="L40" s="7">
        <v>24000</v>
      </c>
      <c r="M40" s="7">
        <f>CleanSalesTable[[#This Row],[Sales Amount]]-CleanSalesTable[[#This Row],[Unit Price]]</f>
        <v>0</v>
      </c>
      <c r="N40" t="s">
        <v>58</v>
      </c>
      <c r="O40" t="s">
        <v>79</v>
      </c>
      <c r="P40" t="str">
        <f t="shared" si="0"/>
        <v>Low</v>
      </c>
      <c r="Q40" t="str">
        <f t="shared" si="1"/>
        <v>Loss</v>
      </c>
      <c r="R40" s="9" t="str">
        <f t="shared" si="2"/>
        <v>Dec</v>
      </c>
    </row>
    <row r="41" spans="1:18" x14ac:dyDescent="0.25">
      <c r="A41" s="5" t="s">
        <v>121</v>
      </c>
      <c r="B41" s="16">
        <v>45749</v>
      </c>
      <c r="C41" t="s">
        <v>17</v>
      </c>
      <c r="D41" t="s">
        <v>27</v>
      </c>
      <c r="E41" t="s">
        <v>28</v>
      </c>
      <c r="F41" t="s">
        <v>29</v>
      </c>
      <c r="G41" t="s">
        <v>48</v>
      </c>
      <c r="H41" t="s">
        <v>90</v>
      </c>
      <c r="I41" s="17">
        <v>4</v>
      </c>
      <c r="J41" s="7">
        <v>14500</v>
      </c>
      <c r="K41" s="8">
        <v>0.05</v>
      </c>
      <c r="L41" s="7">
        <v>55100</v>
      </c>
      <c r="M41" s="7">
        <f>CleanSalesTable[[#This Row],[Sales Amount]]-CleanSalesTable[[#This Row],[Unit Price]]</f>
        <v>40600</v>
      </c>
      <c r="N41" t="s">
        <v>50</v>
      </c>
      <c r="O41" t="s">
        <v>32</v>
      </c>
      <c r="P41" t="str">
        <f t="shared" si="0"/>
        <v>Medium</v>
      </c>
      <c r="Q41" t="str">
        <f t="shared" si="1"/>
        <v>Profit</v>
      </c>
      <c r="R41" s="9" t="str">
        <f t="shared" si="2"/>
        <v>Apr</v>
      </c>
    </row>
    <row r="42" spans="1:18" x14ac:dyDescent="0.25">
      <c r="A42" s="5" t="s">
        <v>122</v>
      </c>
      <c r="B42" s="16">
        <v>45924</v>
      </c>
      <c r="C42" t="s">
        <v>84</v>
      </c>
      <c r="D42" t="s">
        <v>81</v>
      </c>
      <c r="E42" t="s">
        <v>72</v>
      </c>
      <c r="F42" t="s">
        <v>43</v>
      </c>
      <c r="G42" t="s">
        <v>30</v>
      </c>
      <c r="H42" t="s">
        <v>31</v>
      </c>
      <c r="I42" s="17">
        <v>4</v>
      </c>
      <c r="J42" s="7">
        <v>3200</v>
      </c>
      <c r="K42" s="8">
        <v>0</v>
      </c>
      <c r="L42" s="7">
        <v>12800</v>
      </c>
      <c r="M42" s="7">
        <f>CleanSalesTable[[#This Row],[Sales Amount]]-CleanSalesTable[[#This Row],[Unit Price]]</f>
        <v>9600</v>
      </c>
      <c r="N42" t="s">
        <v>73</v>
      </c>
      <c r="O42" t="s">
        <v>51</v>
      </c>
      <c r="P42" t="str">
        <f t="shared" si="0"/>
        <v>Low</v>
      </c>
      <c r="Q42" t="str">
        <f t="shared" si="1"/>
        <v>Profit</v>
      </c>
      <c r="R42" s="9" t="str">
        <f t="shared" si="2"/>
        <v>Sep</v>
      </c>
    </row>
    <row r="43" spans="1:18" x14ac:dyDescent="0.25">
      <c r="A43" s="5" t="s">
        <v>123</v>
      </c>
      <c r="B43" s="16">
        <v>45815</v>
      </c>
      <c r="C43" t="s">
        <v>61</v>
      </c>
      <c r="D43" t="s">
        <v>104</v>
      </c>
      <c r="E43" t="s">
        <v>19</v>
      </c>
      <c r="F43" t="s">
        <v>20</v>
      </c>
      <c r="G43" t="s">
        <v>77</v>
      </c>
      <c r="H43" t="s">
        <v>111</v>
      </c>
      <c r="I43" s="17">
        <v>4</v>
      </c>
      <c r="J43" s="7">
        <v>29000</v>
      </c>
      <c r="K43" s="8">
        <v>0</v>
      </c>
      <c r="L43" s="7">
        <v>116000</v>
      </c>
      <c r="M43" s="7">
        <f>CleanSalesTable[[#This Row],[Sales Amount]]-CleanSalesTable[[#This Row],[Unit Price]]</f>
        <v>87000</v>
      </c>
      <c r="N43" t="s">
        <v>73</v>
      </c>
      <c r="O43" t="s">
        <v>59</v>
      </c>
      <c r="P43" t="str">
        <f t="shared" si="0"/>
        <v>High</v>
      </c>
      <c r="Q43" t="str">
        <f t="shared" si="1"/>
        <v>Profit</v>
      </c>
      <c r="R43" s="9" t="str">
        <f t="shared" si="2"/>
        <v>Jun</v>
      </c>
    </row>
    <row r="44" spans="1:18" x14ac:dyDescent="0.25">
      <c r="A44" s="5" t="s">
        <v>124</v>
      </c>
      <c r="B44" s="16">
        <v>45857</v>
      </c>
      <c r="C44" t="s">
        <v>70</v>
      </c>
      <c r="D44" t="s">
        <v>67</v>
      </c>
      <c r="E44" t="s">
        <v>36</v>
      </c>
      <c r="F44" t="s">
        <v>29</v>
      </c>
      <c r="G44" t="s">
        <v>30</v>
      </c>
      <c r="H44" t="s">
        <v>37</v>
      </c>
      <c r="I44" s="17">
        <v>4</v>
      </c>
      <c r="J44" s="7">
        <v>2800</v>
      </c>
      <c r="K44" s="8">
        <v>0.15</v>
      </c>
      <c r="L44" s="7">
        <v>9520</v>
      </c>
      <c r="M44" s="7">
        <f>CleanSalesTable[[#This Row],[Sales Amount]]-CleanSalesTable[[#This Row],[Unit Price]]</f>
        <v>6720</v>
      </c>
      <c r="N44" t="s">
        <v>50</v>
      </c>
      <c r="O44" t="s">
        <v>74</v>
      </c>
      <c r="P44" t="str">
        <f t="shared" si="0"/>
        <v>Low</v>
      </c>
      <c r="Q44" t="str">
        <f t="shared" si="1"/>
        <v>Profit</v>
      </c>
      <c r="R44" s="9" t="str">
        <f t="shared" si="2"/>
        <v>Jul</v>
      </c>
    </row>
    <row r="45" spans="1:18" x14ac:dyDescent="0.25">
      <c r="A45" s="5" t="s">
        <v>125</v>
      </c>
      <c r="B45" s="16">
        <v>45874</v>
      </c>
      <c r="C45" t="s">
        <v>46</v>
      </c>
      <c r="D45" t="s">
        <v>71</v>
      </c>
      <c r="E45" t="s">
        <v>72</v>
      </c>
      <c r="F45" t="s">
        <v>43</v>
      </c>
      <c r="G45" t="s">
        <v>21</v>
      </c>
      <c r="H45" t="s">
        <v>82</v>
      </c>
      <c r="I45" s="17">
        <v>4</v>
      </c>
      <c r="J45" s="7">
        <v>900</v>
      </c>
      <c r="K45" s="8">
        <v>0</v>
      </c>
      <c r="L45" s="7">
        <v>3600</v>
      </c>
      <c r="M45" s="7">
        <f>CleanSalesTable[[#This Row],[Sales Amount]]-CleanSalesTable[[#This Row],[Unit Price]]</f>
        <v>2700</v>
      </c>
      <c r="N45" t="s">
        <v>23</v>
      </c>
      <c r="O45" t="s">
        <v>97</v>
      </c>
      <c r="P45" t="str">
        <f t="shared" si="0"/>
        <v>Low</v>
      </c>
      <c r="Q45" t="str">
        <f t="shared" si="1"/>
        <v>Profit</v>
      </c>
      <c r="R45" s="9" t="str">
        <f t="shared" si="2"/>
        <v>Aug</v>
      </c>
    </row>
    <row r="46" spans="1:18" x14ac:dyDescent="0.25">
      <c r="A46" s="5" t="s">
        <v>126</v>
      </c>
      <c r="B46" s="16">
        <v>45945</v>
      </c>
      <c r="C46" t="s">
        <v>17</v>
      </c>
      <c r="D46" t="s">
        <v>81</v>
      </c>
      <c r="E46" t="s">
        <v>72</v>
      </c>
      <c r="F46" t="s">
        <v>43</v>
      </c>
      <c r="G46" t="s">
        <v>48</v>
      </c>
      <c r="H46" t="s">
        <v>105</v>
      </c>
      <c r="I46" s="17">
        <v>1</v>
      </c>
      <c r="J46" s="7">
        <v>21000</v>
      </c>
      <c r="K46" s="8">
        <v>0.15</v>
      </c>
      <c r="L46" s="7">
        <v>17850</v>
      </c>
      <c r="M46" s="7">
        <f>CleanSalesTable[[#This Row],[Sales Amount]]-CleanSalesTable[[#This Row],[Unit Price]]</f>
        <v>-3150</v>
      </c>
      <c r="N46" t="s">
        <v>58</v>
      </c>
      <c r="O46" t="s">
        <v>79</v>
      </c>
      <c r="P46" t="str">
        <f t="shared" si="0"/>
        <v>Low</v>
      </c>
      <c r="Q46" t="str">
        <f t="shared" si="1"/>
        <v>Loss</v>
      </c>
      <c r="R46" s="9" t="str">
        <f t="shared" si="2"/>
        <v>Oct</v>
      </c>
    </row>
    <row r="47" spans="1:18" x14ac:dyDescent="0.25">
      <c r="A47" s="5" t="s">
        <v>127</v>
      </c>
      <c r="B47" s="16">
        <v>45939</v>
      </c>
      <c r="C47" t="s">
        <v>61</v>
      </c>
      <c r="D47" t="s">
        <v>41</v>
      </c>
      <c r="E47" t="s">
        <v>42</v>
      </c>
      <c r="F47" t="s">
        <v>43</v>
      </c>
      <c r="G47" t="s">
        <v>30</v>
      </c>
      <c r="H47" t="s">
        <v>31</v>
      </c>
      <c r="I47" s="17">
        <v>1</v>
      </c>
      <c r="J47" s="7">
        <v>3200</v>
      </c>
      <c r="K47" s="8">
        <v>0.1</v>
      </c>
      <c r="L47" s="7">
        <v>2880</v>
      </c>
      <c r="M47" s="7">
        <f>CleanSalesTable[[#This Row],[Sales Amount]]-CleanSalesTable[[#This Row],[Unit Price]]</f>
        <v>-320</v>
      </c>
      <c r="N47" t="s">
        <v>38</v>
      </c>
      <c r="O47" t="s">
        <v>74</v>
      </c>
      <c r="P47" t="str">
        <f t="shared" si="0"/>
        <v>Low</v>
      </c>
      <c r="Q47" t="str">
        <f t="shared" si="1"/>
        <v>Loss</v>
      </c>
      <c r="R47" s="9" t="str">
        <f t="shared" si="2"/>
        <v>Oct</v>
      </c>
    </row>
    <row r="48" spans="1:18" x14ac:dyDescent="0.25">
      <c r="A48" s="5" t="s">
        <v>128</v>
      </c>
      <c r="B48" s="16">
        <v>45795</v>
      </c>
      <c r="C48" t="s">
        <v>94</v>
      </c>
      <c r="D48" t="s">
        <v>71</v>
      </c>
      <c r="E48" t="s">
        <v>72</v>
      </c>
      <c r="F48" t="s">
        <v>43</v>
      </c>
      <c r="G48" t="s">
        <v>30</v>
      </c>
      <c r="H48" t="s">
        <v>31</v>
      </c>
      <c r="I48" s="17">
        <v>2</v>
      </c>
      <c r="J48" s="7">
        <v>3200</v>
      </c>
      <c r="K48" s="8">
        <v>0.1</v>
      </c>
      <c r="L48" s="7">
        <v>5760</v>
      </c>
      <c r="M48" s="7">
        <f>CleanSalesTable[[#This Row],[Sales Amount]]-CleanSalesTable[[#This Row],[Unit Price]]</f>
        <v>2560</v>
      </c>
      <c r="N48" t="s">
        <v>50</v>
      </c>
      <c r="O48" t="s">
        <v>59</v>
      </c>
      <c r="P48" t="str">
        <f t="shared" si="0"/>
        <v>Low</v>
      </c>
      <c r="Q48" t="str">
        <f t="shared" si="1"/>
        <v>Profit</v>
      </c>
      <c r="R48" s="9" t="str">
        <f t="shared" si="2"/>
        <v>May</v>
      </c>
    </row>
    <row r="49" spans="1:18" x14ac:dyDescent="0.25">
      <c r="A49" s="5" t="s">
        <v>129</v>
      </c>
      <c r="B49" s="16">
        <v>45884</v>
      </c>
      <c r="C49" t="s">
        <v>53</v>
      </c>
      <c r="D49" t="s">
        <v>67</v>
      </c>
      <c r="E49" t="s">
        <v>36</v>
      </c>
      <c r="F49" t="s">
        <v>29</v>
      </c>
      <c r="G49" t="s">
        <v>30</v>
      </c>
      <c r="H49" t="s">
        <v>31</v>
      </c>
      <c r="I49" s="17">
        <v>4</v>
      </c>
      <c r="J49" s="7">
        <v>3200</v>
      </c>
      <c r="K49" s="8">
        <v>0.1</v>
      </c>
      <c r="L49" s="7">
        <v>11520</v>
      </c>
      <c r="M49" s="7">
        <f>CleanSalesTable[[#This Row],[Sales Amount]]-CleanSalesTable[[#This Row],[Unit Price]]</f>
        <v>8320</v>
      </c>
      <c r="N49" t="s">
        <v>58</v>
      </c>
      <c r="O49" t="s">
        <v>32</v>
      </c>
      <c r="P49" t="str">
        <f t="shared" si="0"/>
        <v>Low</v>
      </c>
      <c r="Q49" t="str">
        <f t="shared" si="1"/>
        <v>Profit</v>
      </c>
      <c r="R49" s="9" t="str">
        <f t="shared" si="2"/>
        <v>Aug</v>
      </c>
    </row>
    <row r="50" spans="1:18" x14ac:dyDescent="0.25">
      <c r="A50" s="5" t="s">
        <v>130</v>
      </c>
      <c r="B50" s="16">
        <v>45715</v>
      </c>
      <c r="C50" t="s">
        <v>26</v>
      </c>
      <c r="D50" t="s">
        <v>27</v>
      </c>
      <c r="E50" t="s">
        <v>28</v>
      </c>
      <c r="F50" t="s">
        <v>29</v>
      </c>
      <c r="G50" t="s">
        <v>48</v>
      </c>
      <c r="H50" t="s">
        <v>90</v>
      </c>
      <c r="I50" s="17">
        <v>2</v>
      </c>
      <c r="J50" s="7">
        <v>14500</v>
      </c>
      <c r="K50" s="8">
        <v>0</v>
      </c>
      <c r="L50" s="7">
        <v>29000</v>
      </c>
      <c r="M50" s="7">
        <f>CleanSalesTable[[#This Row],[Sales Amount]]-CleanSalesTable[[#This Row],[Unit Price]]</f>
        <v>14500</v>
      </c>
      <c r="N50" t="s">
        <v>50</v>
      </c>
      <c r="O50" t="s">
        <v>59</v>
      </c>
      <c r="P50" t="str">
        <f t="shared" si="0"/>
        <v>Low</v>
      </c>
      <c r="Q50" t="str">
        <f t="shared" si="1"/>
        <v>Profit</v>
      </c>
      <c r="R50" s="9" t="str">
        <f t="shared" si="2"/>
        <v>Feb</v>
      </c>
    </row>
    <row r="51" spans="1:18" x14ac:dyDescent="0.25">
      <c r="A51" s="5" t="s">
        <v>131</v>
      </c>
      <c r="B51" s="16">
        <v>45868</v>
      </c>
      <c r="C51" t="s">
        <v>46</v>
      </c>
      <c r="D51" t="s">
        <v>89</v>
      </c>
      <c r="E51" t="s">
        <v>87</v>
      </c>
      <c r="F51" t="s">
        <v>20</v>
      </c>
      <c r="G51" t="s">
        <v>48</v>
      </c>
      <c r="H51" t="s">
        <v>105</v>
      </c>
      <c r="I51" s="17">
        <v>4</v>
      </c>
      <c r="J51" s="7">
        <v>21000</v>
      </c>
      <c r="K51" s="8">
        <v>0</v>
      </c>
      <c r="L51" s="7">
        <v>84000</v>
      </c>
      <c r="M51" s="7">
        <f>CleanSalesTable[[#This Row],[Sales Amount]]-CleanSalesTable[[#This Row],[Unit Price]]</f>
        <v>63000</v>
      </c>
      <c r="N51" t="s">
        <v>50</v>
      </c>
      <c r="O51" t="s">
        <v>32</v>
      </c>
      <c r="P51" t="str">
        <f t="shared" si="0"/>
        <v>Medium</v>
      </c>
      <c r="Q51" t="str">
        <f t="shared" si="1"/>
        <v>Profit</v>
      </c>
      <c r="R51" s="9" t="str">
        <f t="shared" si="2"/>
        <v>Jul</v>
      </c>
    </row>
    <row r="52" spans="1:18" x14ac:dyDescent="0.25">
      <c r="A52" s="5" t="s">
        <v>132</v>
      </c>
      <c r="B52" s="16">
        <v>45918</v>
      </c>
      <c r="C52" t="s">
        <v>34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s="17">
        <v>4</v>
      </c>
      <c r="J52" s="7">
        <v>1500</v>
      </c>
      <c r="K52" s="8">
        <v>0</v>
      </c>
      <c r="L52" s="7">
        <v>6000</v>
      </c>
      <c r="M52" s="7">
        <f>CleanSalesTable[[#This Row],[Sales Amount]]-CleanSalesTable[[#This Row],[Unit Price]]</f>
        <v>4500</v>
      </c>
      <c r="N52" t="s">
        <v>23</v>
      </c>
      <c r="O52" t="s">
        <v>59</v>
      </c>
      <c r="P52" t="str">
        <f t="shared" si="0"/>
        <v>Low</v>
      </c>
      <c r="Q52" t="str">
        <f t="shared" si="1"/>
        <v>Profit</v>
      </c>
      <c r="R52" s="9" t="str">
        <f t="shared" si="2"/>
        <v>Sep</v>
      </c>
    </row>
    <row r="53" spans="1:18" x14ac:dyDescent="0.25">
      <c r="A53" s="5" t="s">
        <v>133</v>
      </c>
      <c r="B53" s="16">
        <v>45751</v>
      </c>
      <c r="C53" t="s">
        <v>46</v>
      </c>
      <c r="D53" t="s">
        <v>104</v>
      </c>
      <c r="E53" t="s">
        <v>19</v>
      </c>
      <c r="F53" t="s">
        <v>20</v>
      </c>
      <c r="G53" t="s">
        <v>54</v>
      </c>
      <c r="H53" t="s">
        <v>55</v>
      </c>
      <c r="I53" s="17">
        <v>1</v>
      </c>
      <c r="J53" s="7">
        <v>58000</v>
      </c>
      <c r="K53" s="8">
        <v>0.05</v>
      </c>
      <c r="L53" s="7">
        <v>55100</v>
      </c>
      <c r="M53" s="7">
        <f>CleanSalesTable[[#This Row],[Sales Amount]]-CleanSalesTable[[#This Row],[Unit Price]]</f>
        <v>-2900</v>
      </c>
      <c r="N53" t="s">
        <v>50</v>
      </c>
      <c r="O53" t="s">
        <v>59</v>
      </c>
      <c r="P53" t="str">
        <f t="shared" si="0"/>
        <v>Medium</v>
      </c>
      <c r="Q53" t="str">
        <f t="shared" si="1"/>
        <v>Loss</v>
      </c>
      <c r="R53" s="9" t="str">
        <f t="shared" si="2"/>
        <v>Apr</v>
      </c>
    </row>
    <row r="54" spans="1:18" x14ac:dyDescent="0.25">
      <c r="A54" s="5" t="s">
        <v>134</v>
      </c>
      <c r="B54" s="16">
        <v>45875</v>
      </c>
      <c r="C54" t="s">
        <v>53</v>
      </c>
      <c r="D54" t="s">
        <v>67</v>
      </c>
      <c r="E54" t="s">
        <v>36</v>
      </c>
      <c r="F54" t="s">
        <v>29</v>
      </c>
      <c r="G54" t="s">
        <v>48</v>
      </c>
      <c r="H54" t="s">
        <v>105</v>
      </c>
      <c r="I54" s="17">
        <v>4</v>
      </c>
      <c r="J54" s="7">
        <v>21000</v>
      </c>
      <c r="K54" s="8">
        <v>0.1</v>
      </c>
      <c r="L54" s="7">
        <v>75600</v>
      </c>
      <c r="M54" s="7">
        <f>CleanSalesTable[[#This Row],[Sales Amount]]-CleanSalesTable[[#This Row],[Unit Price]]</f>
        <v>54600</v>
      </c>
      <c r="N54" t="s">
        <v>23</v>
      </c>
      <c r="O54" t="s">
        <v>32</v>
      </c>
      <c r="P54" t="str">
        <f t="shared" si="0"/>
        <v>Medium</v>
      </c>
      <c r="Q54" t="str">
        <f t="shared" si="1"/>
        <v>Profit</v>
      </c>
      <c r="R54" s="9" t="str">
        <f t="shared" si="2"/>
        <v>Aug</v>
      </c>
    </row>
    <row r="55" spans="1:18" x14ac:dyDescent="0.25">
      <c r="A55" s="5" t="s">
        <v>135</v>
      </c>
      <c r="B55" s="16">
        <v>45768</v>
      </c>
      <c r="C55" t="s">
        <v>53</v>
      </c>
      <c r="D55" t="s">
        <v>89</v>
      </c>
      <c r="E55" t="s">
        <v>87</v>
      </c>
      <c r="F55" t="s">
        <v>20</v>
      </c>
      <c r="G55" t="s">
        <v>77</v>
      </c>
      <c r="H55" t="s">
        <v>111</v>
      </c>
      <c r="I55" s="17">
        <v>1</v>
      </c>
      <c r="J55" s="7">
        <v>29000</v>
      </c>
      <c r="K55" s="8">
        <v>0.1</v>
      </c>
      <c r="L55" s="7">
        <v>26100</v>
      </c>
      <c r="M55" s="7">
        <f>CleanSalesTable[[#This Row],[Sales Amount]]-CleanSalesTable[[#This Row],[Unit Price]]</f>
        <v>-2900</v>
      </c>
      <c r="N55" t="s">
        <v>73</v>
      </c>
      <c r="O55" t="s">
        <v>97</v>
      </c>
      <c r="P55" t="str">
        <f t="shared" si="0"/>
        <v>Low</v>
      </c>
      <c r="Q55" t="str">
        <f t="shared" si="1"/>
        <v>Loss</v>
      </c>
      <c r="R55" s="9" t="str">
        <f t="shared" si="2"/>
        <v>Apr</v>
      </c>
    </row>
    <row r="56" spans="1:18" x14ac:dyDescent="0.25">
      <c r="A56" s="5" t="s">
        <v>136</v>
      </c>
      <c r="B56" s="16">
        <v>46022</v>
      </c>
      <c r="C56" t="s">
        <v>17</v>
      </c>
      <c r="D56" t="s">
        <v>35</v>
      </c>
      <c r="E56" t="s">
        <v>36</v>
      </c>
      <c r="F56" t="s">
        <v>29</v>
      </c>
      <c r="G56" t="s">
        <v>54</v>
      </c>
      <c r="H56" t="s">
        <v>63</v>
      </c>
      <c r="I56" s="17">
        <v>3</v>
      </c>
      <c r="J56" s="7">
        <v>61000</v>
      </c>
      <c r="K56" s="8">
        <v>0.15</v>
      </c>
      <c r="L56" s="7">
        <v>155550</v>
      </c>
      <c r="M56" s="7">
        <f>CleanSalesTable[[#This Row],[Sales Amount]]-CleanSalesTable[[#This Row],[Unit Price]]</f>
        <v>94550</v>
      </c>
      <c r="N56" t="s">
        <v>23</v>
      </c>
      <c r="O56" t="s">
        <v>59</v>
      </c>
      <c r="P56" t="str">
        <f t="shared" si="0"/>
        <v>High</v>
      </c>
      <c r="Q56" t="str">
        <f t="shared" si="1"/>
        <v>Profit</v>
      </c>
      <c r="R56" s="9" t="str">
        <f t="shared" si="2"/>
        <v>Dec</v>
      </c>
    </row>
    <row r="57" spans="1:18" x14ac:dyDescent="0.25">
      <c r="A57" s="5" t="s">
        <v>137</v>
      </c>
      <c r="B57" s="16">
        <v>45765</v>
      </c>
      <c r="C57" t="s">
        <v>94</v>
      </c>
      <c r="D57" t="s">
        <v>138</v>
      </c>
      <c r="E57" t="s">
        <v>28</v>
      </c>
      <c r="F57" t="s">
        <v>29</v>
      </c>
      <c r="G57" t="s">
        <v>30</v>
      </c>
      <c r="H57" t="s">
        <v>37</v>
      </c>
      <c r="I57" s="17">
        <v>1</v>
      </c>
      <c r="J57" s="7">
        <v>2800</v>
      </c>
      <c r="K57" s="8">
        <v>0.05</v>
      </c>
      <c r="L57" s="7">
        <v>2660</v>
      </c>
      <c r="M57" s="7">
        <f>CleanSalesTable[[#This Row],[Sales Amount]]-CleanSalesTable[[#This Row],[Unit Price]]</f>
        <v>-140</v>
      </c>
      <c r="N57" t="s">
        <v>38</v>
      </c>
      <c r="O57" t="s">
        <v>79</v>
      </c>
      <c r="P57" t="str">
        <f t="shared" si="0"/>
        <v>Low</v>
      </c>
      <c r="Q57" t="str">
        <f t="shared" si="1"/>
        <v>Loss</v>
      </c>
      <c r="R57" s="9" t="str">
        <f t="shared" si="2"/>
        <v>Apr</v>
      </c>
    </row>
    <row r="58" spans="1:18" x14ac:dyDescent="0.25">
      <c r="A58" s="5" t="s">
        <v>139</v>
      </c>
      <c r="B58" s="16">
        <v>45909</v>
      </c>
      <c r="C58" t="s">
        <v>34</v>
      </c>
      <c r="D58" t="s">
        <v>110</v>
      </c>
      <c r="E58" t="s">
        <v>72</v>
      </c>
      <c r="F58" t="s">
        <v>43</v>
      </c>
      <c r="G58" t="s">
        <v>54</v>
      </c>
      <c r="H58" t="s">
        <v>68</v>
      </c>
      <c r="I58" s="17">
        <v>1</v>
      </c>
      <c r="J58" s="7">
        <v>52000</v>
      </c>
      <c r="K58" s="8">
        <v>0.05</v>
      </c>
      <c r="L58" s="7">
        <v>49400</v>
      </c>
      <c r="M58" s="7">
        <f>CleanSalesTable[[#This Row],[Sales Amount]]-CleanSalesTable[[#This Row],[Unit Price]]</f>
        <v>-2600</v>
      </c>
      <c r="N58" t="s">
        <v>73</v>
      </c>
      <c r="O58" t="s">
        <v>59</v>
      </c>
      <c r="P58" t="str">
        <f t="shared" si="0"/>
        <v>Medium</v>
      </c>
      <c r="Q58" t="str">
        <f t="shared" si="1"/>
        <v>Loss</v>
      </c>
      <c r="R58" s="9" t="str">
        <f t="shared" si="2"/>
        <v>Sep</v>
      </c>
    </row>
    <row r="59" spans="1:18" x14ac:dyDescent="0.25">
      <c r="A59" s="5" t="s">
        <v>140</v>
      </c>
      <c r="B59" s="16">
        <v>45783</v>
      </c>
      <c r="C59" t="s">
        <v>118</v>
      </c>
      <c r="D59" t="s">
        <v>92</v>
      </c>
      <c r="E59" t="s">
        <v>42</v>
      </c>
      <c r="F59" t="s">
        <v>43</v>
      </c>
      <c r="G59" t="s">
        <v>30</v>
      </c>
      <c r="H59" t="s">
        <v>57</v>
      </c>
      <c r="I59" s="17">
        <v>1</v>
      </c>
      <c r="J59" s="7">
        <v>4500</v>
      </c>
      <c r="K59" s="8">
        <v>0</v>
      </c>
      <c r="L59" s="7">
        <v>4500</v>
      </c>
      <c r="M59" s="7">
        <f>CleanSalesTable[[#This Row],[Sales Amount]]-CleanSalesTable[[#This Row],[Unit Price]]</f>
        <v>0</v>
      </c>
      <c r="N59" t="s">
        <v>50</v>
      </c>
      <c r="O59" t="s">
        <v>97</v>
      </c>
      <c r="P59" t="str">
        <f t="shared" si="0"/>
        <v>Low</v>
      </c>
      <c r="Q59" t="str">
        <f t="shared" si="1"/>
        <v>Loss</v>
      </c>
      <c r="R59" s="9" t="str">
        <f t="shared" si="2"/>
        <v>May</v>
      </c>
    </row>
    <row r="60" spans="1:18" x14ac:dyDescent="0.25">
      <c r="A60" s="5" t="s">
        <v>141</v>
      </c>
      <c r="B60" s="16">
        <v>45861</v>
      </c>
      <c r="C60" t="s">
        <v>26</v>
      </c>
      <c r="D60" t="s">
        <v>35</v>
      </c>
      <c r="E60" t="s">
        <v>36</v>
      </c>
      <c r="F60" t="s">
        <v>29</v>
      </c>
      <c r="G60" t="s">
        <v>30</v>
      </c>
      <c r="H60" t="s">
        <v>37</v>
      </c>
      <c r="I60" s="17">
        <v>1</v>
      </c>
      <c r="J60" s="7">
        <v>2800</v>
      </c>
      <c r="K60" s="8">
        <v>0.15</v>
      </c>
      <c r="L60" s="7">
        <v>2380</v>
      </c>
      <c r="M60" s="7">
        <f>CleanSalesTable[[#This Row],[Sales Amount]]-CleanSalesTable[[#This Row],[Unit Price]]</f>
        <v>-420</v>
      </c>
      <c r="N60" t="s">
        <v>50</v>
      </c>
      <c r="O60" t="s">
        <v>97</v>
      </c>
      <c r="P60" t="str">
        <f t="shared" si="0"/>
        <v>Low</v>
      </c>
      <c r="Q60" t="str">
        <f t="shared" si="1"/>
        <v>Loss</v>
      </c>
      <c r="R60" s="9" t="str">
        <f t="shared" si="2"/>
        <v>Jul</v>
      </c>
    </row>
    <row r="61" spans="1:18" x14ac:dyDescent="0.25">
      <c r="A61" s="5" t="s">
        <v>142</v>
      </c>
      <c r="B61" s="16">
        <v>45822</v>
      </c>
      <c r="C61" t="s">
        <v>26</v>
      </c>
      <c r="D61" t="s">
        <v>110</v>
      </c>
      <c r="E61" t="s">
        <v>72</v>
      </c>
      <c r="F61" t="s">
        <v>43</v>
      </c>
      <c r="G61" t="s">
        <v>21</v>
      </c>
      <c r="H61" t="s">
        <v>44</v>
      </c>
      <c r="I61" s="17">
        <v>2</v>
      </c>
      <c r="J61" s="7">
        <v>1200</v>
      </c>
      <c r="K61" s="8">
        <v>0</v>
      </c>
      <c r="L61" s="7">
        <v>2400</v>
      </c>
      <c r="M61" s="7">
        <f>CleanSalesTable[[#This Row],[Sales Amount]]-CleanSalesTable[[#This Row],[Unit Price]]</f>
        <v>1200</v>
      </c>
      <c r="N61" t="s">
        <v>23</v>
      </c>
      <c r="O61" t="s">
        <v>59</v>
      </c>
      <c r="P61" t="str">
        <f t="shared" si="0"/>
        <v>Low</v>
      </c>
      <c r="Q61" t="str">
        <f t="shared" si="1"/>
        <v>Profit</v>
      </c>
      <c r="R61" s="9" t="str">
        <f t="shared" si="2"/>
        <v>Jun</v>
      </c>
    </row>
    <row r="62" spans="1:18" x14ac:dyDescent="0.25">
      <c r="A62" s="5" t="s">
        <v>143</v>
      </c>
      <c r="B62" s="16">
        <v>45895</v>
      </c>
      <c r="C62" t="s">
        <v>61</v>
      </c>
      <c r="D62" t="s">
        <v>47</v>
      </c>
      <c r="E62" t="s">
        <v>19</v>
      </c>
      <c r="F62" t="s">
        <v>20</v>
      </c>
      <c r="G62" t="s">
        <v>21</v>
      </c>
      <c r="H62" t="s">
        <v>82</v>
      </c>
      <c r="I62" s="17">
        <v>1</v>
      </c>
      <c r="J62" s="7">
        <v>900</v>
      </c>
      <c r="K62" s="8">
        <v>0.1</v>
      </c>
      <c r="L62" s="7">
        <v>810</v>
      </c>
      <c r="M62" s="7">
        <f>CleanSalesTable[[#This Row],[Sales Amount]]-CleanSalesTable[[#This Row],[Unit Price]]</f>
        <v>-90</v>
      </c>
      <c r="N62" t="s">
        <v>58</v>
      </c>
      <c r="O62" t="s">
        <v>79</v>
      </c>
      <c r="P62" t="str">
        <f t="shared" si="0"/>
        <v>Low</v>
      </c>
      <c r="Q62" t="str">
        <f t="shared" si="1"/>
        <v>Loss</v>
      </c>
      <c r="R62" s="9" t="str">
        <f t="shared" si="2"/>
        <v>Aug</v>
      </c>
    </row>
    <row r="63" spans="1:18" x14ac:dyDescent="0.25">
      <c r="A63" s="5" t="s">
        <v>144</v>
      </c>
      <c r="B63" s="16">
        <v>45728</v>
      </c>
      <c r="C63" t="s">
        <v>53</v>
      </c>
      <c r="D63" t="s">
        <v>92</v>
      </c>
      <c r="E63" t="s">
        <v>42</v>
      </c>
      <c r="F63" t="s">
        <v>43</v>
      </c>
      <c r="G63" t="s">
        <v>48</v>
      </c>
      <c r="H63" t="s">
        <v>90</v>
      </c>
      <c r="I63" s="17">
        <v>2</v>
      </c>
      <c r="J63" s="7">
        <v>14500</v>
      </c>
      <c r="K63" s="8">
        <v>0</v>
      </c>
      <c r="L63" s="7">
        <v>29000</v>
      </c>
      <c r="M63" s="7">
        <f>CleanSalesTable[[#This Row],[Sales Amount]]-CleanSalesTable[[#This Row],[Unit Price]]</f>
        <v>14500</v>
      </c>
      <c r="N63" t="s">
        <v>58</v>
      </c>
      <c r="O63" t="s">
        <v>39</v>
      </c>
      <c r="P63" t="str">
        <f t="shared" si="0"/>
        <v>Low</v>
      </c>
      <c r="Q63" t="str">
        <f t="shared" si="1"/>
        <v>Profit</v>
      </c>
      <c r="R63" s="9" t="str">
        <f t="shared" si="2"/>
        <v>Mar</v>
      </c>
    </row>
    <row r="64" spans="1:18" x14ac:dyDescent="0.25">
      <c r="A64" s="5" t="s">
        <v>145</v>
      </c>
      <c r="B64" s="16">
        <v>45832</v>
      </c>
      <c r="C64" t="s">
        <v>26</v>
      </c>
      <c r="D64" t="s">
        <v>67</v>
      </c>
      <c r="E64" t="s">
        <v>36</v>
      </c>
      <c r="F64" t="s">
        <v>29</v>
      </c>
      <c r="G64" t="s">
        <v>48</v>
      </c>
      <c r="H64" t="s">
        <v>90</v>
      </c>
      <c r="I64" s="17">
        <v>2</v>
      </c>
      <c r="J64" s="7">
        <v>14500</v>
      </c>
      <c r="K64" s="8">
        <v>0</v>
      </c>
      <c r="L64" s="7">
        <v>29000</v>
      </c>
      <c r="M64" s="7">
        <f>CleanSalesTable[[#This Row],[Sales Amount]]-CleanSalesTable[[#This Row],[Unit Price]]</f>
        <v>14500</v>
      </c>
      <c r="N64" t="s">
        <v>73</v>
      </c>
      <c r="O64" t="s">
        <v>32</v>
      </c>
      <c r="P64" t="str">
        <f t="shared" si="0"/>
        <v>Low</v>
      </c>
      <c r="Q64" t="str">
        <f t="shared" si="1"/>
        <v>Profit</v>
      </c>
      <c r="R64" s="9" t="str">
        <f t="shared" si="2"/>
        <v>Jun</v>
      </c>
    </row>
    <row r="65" spans="1:18" x14ac:dyDescent="0.25">
      <c r="A65" s="5" t="s">
        <v>146</v>
      </c>
      <c r="B65" s="16">
        <v>45914</v>
      </c>
      <c r="C65" t="s">
        <v>94</v>
      </c>
      <c r="D65" t="s">
        <v>138</v>
      </c>
      <c r="E65" t="s">
        <v>28</v>
      </c>
      <c r="F65" t="s">
        <v>29</v>
      </c>
      <c r="G65" t="s">
        <v>54</v>
      </c>
      <c r="H65" t="s">
        <v>68</v>
      </c>
      <c r="I65" s="17">
        <v>2</v>
      </c>
      <c r="J65" s="7">
        <v>52000</v>
      </c>
      <c r="K65" s="8">
        <v>0</v>
      </c>
      <c r="L65" s="7">
        <v>104000</v>
      </c>
      <c r="M65" s="7">
        <f>CleanSalesTable[[#This Row],[Sales Amount]]-CleanSalesTable[[#This Row],[Unit Price]]</f>
        <v>52000</v>
      </c>
      <c r="N65" t="s">
        <v>50</v>
      </c>
      <c r="O65" t="s">
        <v>51</v>
      </c>
      <c r="P65" t="str">
        <f t="shared" si="0"/>
        <v>High</v>
      </c>
      <c r="Q65" t="str">
        <f t="shared" si="1"/>
        <v>Profit</v>
      </c>
      <c r="R65" s="9" t="str">
        <f t="shared" si="2"/>
        <v>Sep</v>
      </c>
    </row>
    <row r="66" spans="1:18" x14ac:dyDescent="0.25">
      <c r="A66" s="5" t="s">
        <v>147</v>
      </c>
      <c r="B66" s="16">
        <v>45934</v>
      </c>
      <c r="C66" t="s">
        <v>46</v>
      </c>
      <c r="D66" t="s">
        <v>138</v>
      </c>
      <c r="E66" t="s">
        <v>28</v>
      </c>
      <c r="F66" t="s">
        <v>29</v>
      </c>
      <c r="G66" t="s">
        <v>77</v>
      </c>
      <c r="H66" t="s">
        <v>78</v>
      </c>
      <c r="I66" s="17">
        <v>1</v>
      </c>
      <c r="J66" s="7">
        <v>21000</v>
      </c>
      <c r="K66" s="8">
        <v>0</v>
      </c>
      <c r="L66" s="7">
        <v>21000</v>
      </c>
      <c r="M66" s="7">
        <f>CleanSalesTable[[#This Row],[Sales Amount]]-CleanSalesTable[[#This Row],[Unit Price]]</f>
        <v>0</v>
      </c>
      <c r="N66" t="s">
        <v>58</v>
      </c>
      <c r="O66" t="s">
        <v>51</v>
      </c>
      <c r="P66" t="str">
        <f t="shared" si="0"/>
        <v>Low</v>
      </c>
      <c r="Q66" t="str">
        <f t="shared" si="1"/>
        <v>Loss</v>
      </c>
      <c r="R66" s="9" t="str">
        <f t="shared" si="2"/>
        <v>Oct</v>
      </c>
    </row>
    <row r="67" spans="1:18" x14ac:dyDescent="0.25">
      <c r="A67" s="5" t="s">
        <v>148</v>
      </c>
      <c r="B67" s="16">
        <v>45853</v>
      </c>
      <c r="C67" t="s">
        <v>118</v>
      </c>
      <c r="D67" t="s">
        <v>138</v>
      </c>
      <c r="E67" t="s">
        <v>28</v>
      </c>
      <c r="F67" t="s">
        <v>29</v>
      </c>
      <c r="G67" t="s">
        <v>54</v>
      </c>
      <c r="H67" t="s">
        <v>68</v>
      </c>
      <c r="I67" s="17">
        <v>3</v>
      </c>
      <c r="J67" s="7">
        <v>52000</v>
      </c>
      <c r="K67" s="8">
        <v>0.05</v>
      </c>
      <c r="L67" s="7">
        <v>148200</v>
      </c>
      <c r="M67" s="7">
        <f>CleanSalesTable[[#This Row],[Sales Amount]]-CleanSalesTable[[#This Row],[Unit Price]]</f>
        <v>96200</v>
      </c>
      <c r="N67" t="s">
        <v>58</v>
      </c>
      <c r="O67" t="s">
        <v>59</v>
      </c>
      <c r="P67" t="str">
        <f t="shared" si="0"/>
        <v>High</v>
      </c>
      <c r="Q67" t="str">
        <f t="shared" si="1"/>
        <v>Profit</v>
      </c>
      <c r="R67" s="9" t="str">
        <f t="shared" si="2"/>
        <v>Jul</v>
      </c>
    </row>
    <row r="68" spans="1:18" x14ac:dyDescent="0.25">
      <c r="A68" s="5" t="s">
        <v>149</v>
      </c>
      <c r="B68" s="16">
        <v>45778</v>
      </c>
      <c r="C68" t="s">
        <v>118</v>
      </c>
      <c r="D68" t="s">
        <v>27</v>
      </c>
      <c r="E68" t="s">
        <v>28</v>
      </c>
      <c r="F68" t="s">
        <v>29</v>
      </c>
      <c r="G68" t="s">
        <v>30</v>
      </c>
      <c r="H68" t="s">
        <v>57</v>
      </c>
      <c r="I68" s="17">
        <v>4</v>
      </c>
      <c r="J68" s="7">
        <v>4500</v>
      </c>
      <c r="K68" s="8">
        <v>0.1</v>
      </c>
      <c r="L68" s="7">
        <v>16200</v>
      </c>
      <c r="M68" s="7">
        <f>CleanSalesTable[[#This Row],[Sales Amount]]-CleanSalesTable[[#This Row],[Unit Price]]</f>
        <v>11700</v>
      </c>
      <c r="N68" t="s">
        <v>23</v>
      </c>
      <c r="O68" t="s">
        <v>51</v>
      </c>
      <c r="P68" t="str">
        <f t="shared" si="0"/>
        <v>Low</v>
      </c>
      <c r="Q68" t="str">
        <f t="shared" si="1"/>
        <v>Profit</v>
      </c>
      <c r="R68" s="9" t="str">
        <f t="shared" si="2"/>
        <v>May</v>
      </c>
    </row>
    <row r="69" spans="1:18" x14ac:dyDescent="0.25">
      <c r="A69" s="5" t="s">
        <v>150</v>
      </c>
      <c r="B69" s="16">
        <v>45950</v>
      </c>
      <c r="C69" t="s">
        <v>26</v>
      </c>
      <c r="D69" t="s">
        <v>110</v>
      </c>
      <c r="E69" t="s">
        <v>72</v>
      </c>
      <c r="F69" t="s">
        <v>43</v>
      </c>
      <c r="G69" t="s">
        <v>21</v>
      </c>
      <c r="H69" t="s">
        <v>82</v>
      </c>
      <c r="I69" s="17">
        <v>2</v>
      </c>
      <c r="J69" s="7">
        <v>900</v>
      </c>
      <c r="K69" s="8">
        <v>0</v>
      </c>
      <c r="L69" s="7">
        <v>1800</v>
      </c>
      <c r="M69" s="7">
        <f>CleanSalesTable[[#This Row],[Sales Amount]]-CleanSalesTable[[#This Row],[Unit Price]]</f>
        <v>900</v>
      </c>
      <c r="N69" t="s">
        <v>38</v>
      </c>
      <c r="O69" t="s">
        <v>79</v>
      </c>
      <c r="P69" t="str">
        <f t="shared" ref="P69:P132" si="3">IF(L69&gt;=100000,"High",IF(L69&gt;=30000,"Medium","Low"))</f>
        <v>Low</v>
      </c>
      <c r="Q69" t="str">
        <f t="shared" ref="Q69:Q132" si="4">IF(M69&gt;0,"Profit","Loss")</f>
        <v>Profit</v>
      </c>
      <c r="R69" s="9" t="str">
        <f t="shared" ref="R69:R132" si="5">TEXT(B69,"mmm")</f>
        <v>Oct</v>
      </c>
    </row>
    <row r="70" spans="1:18" x14ac:dyDescent="0.25">
      <c r="A70" s="5" t="s">
        <v>151</v>
      </c>
      <c r="B70" s="16">
        <v>45885</v>
      </c>
      <c r="C70" t="s">
        <v>17</v>
      </c>
      <c r="D70" t="s">
        <v>104</v>
      </c>
      <c r="E70" t="s">
        <v>19</v>
      </c>
      <c r="F70" t="s">
        <v>20</v>
      </c>
      <c r="G70" t="s">
        <v>54</v>
      </c>
      <c r="H70" t="s">
        <v>55</v>
      </c>
      <c r="I70" s="17">
        <v>3</v>
      </c>
      <c r="J70" s="7">
        <v>58000</v>
      </c>
      <c r="K70" s="8">
        <v>0</v>
      </c>
      <c r="L70" s="7">
        <v>174000</v>
      </c>
      <c r="M70" s="7">
        <f>CleanSalesTable[[#This Row],[Sales Amount]]-CleanSalesTable[[#This Row],[Unit Price]]</f>
        <v>116000</v>
      </c>
      <c r="N70" t="s">
        <v>73</v>
      </c>
      <c r="O70" t="s">
        <v>59</v>
      </c>
      <c r="P70" t="str">
        <f t="shared" si="3"/>
        <v>High</v>
      </c>
      <c r="Q70" t="str">
        <f t="shared" si="4"/>
        <v>Profit</v>
      </c>
      <c r="R70" s="9" t="str">
        <f t="shared" si="5"/>
        <v>Aug</v>
      </c>
    </row>
    <row r="71" spans="1:18" x14ac:dyDescent="0.25">
      <c r="A71" s="5" t="s">
        <v>152</v>
      </c>
      <c r="B71" s="16">
        <v>45998</v>
      </c>
      <c r="C71" t="s">
        <v>17</v>
      </c>
      <c r="D71" t="s">
        <v>41</v>
      </c>
      <c r="E71" t="s">
        <v>42</v>
      </c>
      <c r="F71" t="s">
        <v>43</v>
      </c>
      <c r="G71" t="s">
        <v>48</v>
      </c>
      <c r="H71" t="s">
        <v>105</v>
      </c>
      <c r="I71" s="17">
        <v>2</v>
      </c>
      <c r="J71" s="7">
        <v>21000</v>
      </c>
      <c r="K71" s="8">
        <v>0.15</v>
      </c>
      <c r="L71" s="7">
        <v>35700</v>
      </c>
      <c r="M71" s="7">
        <f>CleanSalesTable[[#This Row],[Sales Amount]]-CleanSalesTable[[#This Row],[Unit Price]]</f>
        <v>14700</v>
      </c>
      <c r="N71" t="s">
        <v>58</v>
      </c>
      <c r="O71" t="s">
        <v>59</v>
      </c>
      <c r="P71" t="str">
        <f t="shared" si="3"/>
        <v>Medium</v>
      </c>
      <c r="Q71" t="str">
        <f t="shared" si="4"/>
        <v>Profit</v>
      </c>
      <c r="R71" s="9" t="str">
        <f t="shared" si="5"/>
        <v>Dec</v>
      </c>
    </row>
    <row r="72" spans="1:18" x14ac:dyDescent="0.25">
      <c r="A72" s="5" t="s">
        <v>153</v>
      </c>
      <c r="B72" s="16">
        <v>45895</v>
      </c>
      <c r="C72" t="s">
        <v>46</v>
      </c>
      <c r="D72" t="s">
        <v>41</v>
      </c>
      <c r="E72" t="s">
        <v>42</v>
      </c>
      <c r="F72" t="s">
        <v>43</v>
      </c>
      <c r="G72" t="s">
        <v>77</v>
      </c>
      <c r="H72" t="s">
        <v>78</v>
      </c>
      <c r="I72" s="17">
        <v>2</v>
      </c>
      <c r="J72" s="7">
        <v>21000</v>
      </c>
      <c r="K72" s="8">
        <v>0</v>
      </c>
      <c r="L72" s="7">
        <v>42000</v>
      </c>
      <c r="M72" s="7">
        <f>CleanSalesTable[[#This Row],[Sales Amount]]-CleanSalesTable[[#This Row],[Unit Price]]</f>
        <v>21000</v>
      </c>
      <c r="N72" t="s">
        <v>23</v>
      </c>
      <c r="O72" t="s">
        <v>79</v>
      </c>
      <c r="P72" t="str">
        <f t="shared" si="3"/>
        <v>Medium</v>
      </c>
      <c r="Q72" t="str">
        <f t="shared" si="4"/>
        <v>Profit</v>
      </c>
      <c r="R72" s="9" t="str">
        <f t="shared" si="5"/>
        <v>Aug</v>
      </c>
    </row>
    <row r="73" spans="1:18" x14ac:dyDescent="0.25">
      <c r="A73" s="5" t="s">
        <v>154</v>
      </c>
      <c r="B73" s="16">
        <v>45739</v>
      </c>
      <c r="C73" t="s">
        <v>70</v>
      </c>
      <c r="D73" t="s">
        <v>102</v>
      </c>
      <c r="E73" t="s">
        <v>36</v>
      </c>
      <c r="F73" t="s">
        <v>29</v>
      </c>
      <c r="G73" t="s">
        <v>30</v>
      </c>
      <c r="H73" t="s">
        <v>37</v>
      </c>
      <c r="I73" s="17">
        <v>2</v>
      </c>
      <c r="J73" s="7">
        <v>2800</v>
      </c>
      <c r="K73" s="8">
        <v>0.1</v>
      </c>
      <c r="L73" s="7">
        <v>5040</v>
      </c>
      <c r="M73" s="7">
        <f>CleanSalesTable[[#This Row],[Sales Amount]]-CleanSalesTable[[#This Row],[Unit Price]]</f>
        <v>2240</v>
      </c>
      <c r="N73" t="s">
        <v>38</v>
      </c>
      <c r="O73" t="s">
        <v>79</v>
      </c>
      <c r="P73" t="str">
        <f t="shared" si="3"/>
        <v>Low</v>
      </c>
      <c r="Q73" t="str">
        <f t="shared" si="4"/>
        <v>Profit</v>
      </c>
      <c r="R73" s="9" t="str">
        <f t="shared" si="5"/>
        <v>Mar</v>
      </c>
    </row>
    <row r="74" spans="1:18" x14ac:dyDescent="0.25">
      <c r="A74" s="5" t="s">
        <v>155</v>
      </c>
      <c r="B74" s="16">
        <v>45738</v>
      </c>
      <c r="C74" t="s">
        <v>61</v>
      </c>
      <c r="D74" t="s">
        <v>81</v>
      </c>
      <c r="E74" t="s">
        <v>72</v>
      </c>
      <c r="F74" t="s">
        <v>43</v>
      </c>
      <c r="G74" t="s">
        <v>54</v>
      </c>
      <c r="H74" t="s">
        <v>63</v>
      </c>
      <c r="I74" s="17">
        <v>3</v>
      </c>
      <c r="J74" s="7">
        <v>61000</v>
      </c>
      <c r="K74" s="8">
        <v>0</v>
      </c>
      <c r="L74" s="7">
        <v>183000</v>
      </c>
      <c r="M74" s="7">
        <f>CleanSalesTable[[#This Row],[Sales Amount]]-CleanSalesTable[[#This Row],[Unit Price]]</f>
        <v>122000</v>
      </c>
      <c r="N74" t="s">
        <v>38</v>
      </c>
      <c r="O74" t="s">
        <v>74</v>
      </c>
      <c r="P74" t="str">
        <f t="shared" si="3"/>
        <v>High</v>
      </c>
      <c r="Q74" t="str">
        <f t="shared" si="4"/>
        <v>Profit</v>
      </c>
      <c r="R74" s="9" t="str">
        <f t="shared" si="5"/>
        <v>Mar</v>
      </c>
    </row>
    <row r="75" spans="1:18" x14ac:dyDescent="0.25">
      <c r="A75" s="5" t="s">
        <v>156</v>
      </c>
      <c r="B75" s="16">
        <v>45714</v>
      </c>
      <c r="C75" t="s">
        <v>118</v>
      </c>
      <c r="D75" t="s">
        <v>62</v>
      </c>
      <c r="E75" t="s">
        <v>28</v>
      </c>
      <c r="F75" t="s">
        <v>29</v>
      </c>
      <c r="G75" t="s">
        <v>77</v>
      </c>
      <c r="H75" t="s">
        <v>111</v>
      </c>
      <c r="I75" s="17">
        <v>3</v>
      </c>
      <c r="J75" s="7">
        <v>29000</v>
      </c>
      <c r="K75" s="8">
        <v>0.05</v>
      </c>
      <c r="L75" s="7">
        <v>82650</v>
      </c>
      <c r="M75" s="7">
        <f>CleanSalesTable[[#This Row],[Sales Amount]]-CleanSalesTable[[#This Row],[Unit Price]]</f>
        <v>53650</v>
      </c>
      <c r="N75" t="s">
        <v>50</v>
      </c>
      <c r="O75" t="s">
        <v>74</v>
      </c>
      <c r="P75" t="str">
        <f t="shared" si="3"/>
        <v>Medium</v>
      </c>
      <c r="Q75" t="str">
        <f t="shared" si="4"/>
        <v>Profit</v>
      </c>
      <c r="R75" s="9" t="str">
        <f t="shared" si="5"/>
        <v>Feb</v>
      </c>
    </row>
    <row r="76" spans="1:18" x14ac:dyDescent="0.25">
      <c r="A76" s="5" t="s">
        <v>157</v>
      </c>
      <c r="B76" s="16">
        <v>45779</v>
      </c>
      <c r="C76" t="s">
        <v>61</v>
      </c>
      <c r="D76" t="s">
        <v>35</v>
      </c>
      <c r="E76" t="s">
        <v>36</v>
      </c>
      <c r="F76" t="s">
        <v>29</v>
      </c>
      <c r="G76" t="s">
        <v>30</v>
      </c>
      <c r="H76" t="s">
        <v>31</v>
      </c>
      <c r="I76" s="17">
        <v>2</v>
      </c>
      <c r="J76" s="7">
        <v>3200</v>
      </c>
      <c r="K76" s="8">
        <v>0.1</v>
      </c>
      <c r="L76" s="7">
        <v>5760</v>
      </c>
      <c r="M76" s="7">
        <f>CleanSalesTable[[#This Row],[Sales Amount]]-CleanSalesTable[[#This Row],[Unit Price]]</f>
        <v>2560</v>
      </c>
      <c r="N76" t="s">
        <v>73</v>
      </c>
      <c r="O76" t="s">
        <v>51</v>
      </c>
      <c r="P76" t="str">
        <f t="shared" si="3"/>
        <v>Low</v>
      </c>
      <c r="Q76" t="str">
        <f t="shared" si="4"/>
        <v>Profit</v>
      </c>
      <c r="R76" s="9" t="str">
        <f t="shared" si="5"/>
        <v>May</v>
      </c>
    </row>
    <row r="77" spans="1:18" x14ac:dyDescent="0.25">
      <c r="A77" s="5" t="s">
        <v>158</v>
      </c>
      <c r="B77" s="16">
        <v>45660</v>
      </c>
      <c r="C77" t="s">
        <v>34</v>
      </c>
      <c r="D77" t="s">
        <v>76</v>
      </c>
      <c r="E77" t="s">
        <v>42</v>
      </c>
      <c r="F77" t="s">
        <v>43</v>
      </c>
      <c r="G77" t="s">
        <v>30</v>
      </c>
      <c r="H77" t="s">
        <v>37</v>
      </c>
      <c r="I77" s="17">
        <v>4</v>
      </c>
      <c r="J77" s="7">
        <v>2800</v>
      </c>
      <c r="K77" s="8">
        <v>0</v>
      </c>
      <c r="L77" s="7">
        <v>11200</v>
      </c>
      <c r="M77" s="7">
        <f>CleanSalesTable[[#This Row],[Sales Amount]]-CleanSalesTable[[#This Row],[Unit Price]]</f>
        <v>8400</v>
      </c>
      <c r="N77" t="s">
        <v>23</v>
      </c>
      <c r="O77" t="s">
        <v>79</v>
      </c>
      <c r="P77" t="str">
        <f t="shared" si="3"/>
        <v>Low</v>
      </c>
      <c r="Q77" t="str">
        <f t="shared" si="4"/>
        <v>Profit</v>
      </c>
      <c r="R77" s="9" t="str">
        <f t="shared" si="5"/>
        <v>Jan</v>
      </c>
    </row>
    <row r="78" spans="1:18" x14ac:dyDescent="0.25">
      <c r="A78" s="5" t="s">
        <v>159</v>
      </c>
      <c r="B78" s="16">
        <v>45772</v>
      </c>
      <c r="C78" t="s">
        <v>94</v>
      </c>
      <c r="D78" t="s">
        <v>89</v>
      </c>
      <c r="E78" t="s">
        <v>87</v>
      </c>
      <c r="F78" t="s">
        <v>20</v>
      </c>
      <c r="G78" t="s">
        <v>77</v>
      </c>
      <c r="H78" t="s">
        <v>111</v>
      </c>
      <c r="I78" s="17">
        <v>2</v>
      </c>
      <c r="J78" s="7">
        <v>29000</v>
      </c>
      <c r="K78" s="8">
        <v>0.15</v>
      </c>
      <c r="L78" s="7">
        <v>49300</v>
      </c>
      <c r="M78" s="7">
        <f>CleanSalesTable[[#This Row],[Sales Amount]]-CleanSalesTable[[#This Row],[Unit Price]]</f>
        <v>20300</v>
      </c>
      <c r="N78" t="s">
        <v>23</v>
      </c>
      <c r="O78" t="s">
        <v>79</v>
      </c>
      <c r="P78" t="str">
        <f t="shared" si="3"/>
        <v>Medium</v>
      </c>
      <c r="Q78" t="str">
        <f t="shared" si="4"/>
        <v>Profit</v>
      </c>
      <c r="R78" s="9" t="str">
        <f t="shared" si="5"/>
        <v>Apr</v>
      </c>
    </row>
    <row r="79" spans="1:18" x14ac:dyDescent="0.25">
      <c r="A79" s="5" t="s">
        <v>160</v>
      </c>
      <c r="B79" s="16">
        <v>45830</v>
      </c>
      <c r="C79" t="s">
        <v>61</v>
      </c>
      <c r="D79" t="s">
        <v>92</v>
      </c>
      <c r="E79" t="s">
        <v>42</v>
      </c>
      <c r="F79" t="s">
        <v>43</v>
      </c>
      <c r="G79" t="s">
        <v>77</v>
      </c>
      <c r="H79" t="s">
        <v>78</v>
      </c>
      <c r="I79" s="17">
        <v>1</v>
      </c>
      <c r="J79" s="7">
        <v>21000</v>
      </c>
      <c r="K79" s="8">
        <v>0</v>
      </c>
      <c r="L79" s="7">
        <v>21000</v>
      </c>
      <c r="M79" s="7">
        <f>CleanSalesTable[[#This Row],[Sales Amount]]-CleanSalesTable[[#This Row],[Unit Price]]</f>
        <v>0</v>
      </c>
      <c r="N79" t="s">
        <v>23</v>
      </c>
      <c r="O79" t="s">
        <v>32</v>
      </c>
      <c r="P79" t="str">
        <f t="shared" si="3"/>
        <v>Low</v>
      </c>
      <c r="Q79" t="str">
        <f t="shared" si="4"/>
        <v>Loss</v>
      </c>
      <c r="R79" s="9" t="str">
        <f t="shared" si="5"/>
        <v>Jun</v>
      </c>
    </row>
    <row r="80" spans="1:18" x14ac:dyDescent="0.25">
      <c r="A80" s="5" t="s">
        <v>161</v>
      </c>
      <c r="B80" s="16">
        <v>45735</v>
      </c>
      <c r="C80" t="s">
        <v>34</v>
      </c>
      <c r="D80" t="s">
        <v>86</v>
      </c>
      <c r="E80" t="s">
        <v>87</v>
      </c>
      <c r="F80" t="s">
        <v>20</v>
      </c>
      <c r="G80" t="s">
        <v>48</v>
      </c>
      <c r="H80" t="s">
        <v>105</v>
      </c>
      <c r="I80" s="17">
        <v>2</v>
      </c>
      <c r="J80" s="7">
        <v>21000</v>
      </c>
      <c r="K80" s="8">
        <v>0</v>
      </c>
      <c r="L80" s="7">
        <v>42000</v>
      </c>
      <c r="M80" s="7">
        <f>CleanSalesTable[[#This Row],[Sales Amount]]-CleanSalesTable[[#This Row],[Unit Price]]</f>
        <v>21000</v>
      </c>
      <c r="N80" t="s">
        <v>23</v>
      </c>
      <c r="O80" t="s">
        <v>97</v>
      </c>
      <c r="P80" t="str">
        <f t="shared" si="3"/>
        <v>Medium</v>
      </c>
      <c r="Q80" t="str">
        <f t="shared" si="4"/>
        <v>Profit</v>
      </c>
      <c r="R80" s="9" t="str">
        <f t="shared" si="5"/>
        <v>Mar</v>
      </c>
    </row>
    <row r="81" spans="1:18" x14ac:dyDescent="0.25">
      <c r="A81" s="5" t="s">
        <v>162</v>
      </c>
      <c r="B81" s="16">
        <v>45784</v>
      </c>
      <c r="C81" t="s">
        <v>53</v>
      </c>
      <c r="D81" t="s">
        <v>89</v>
      </c>
      <c r="E81" t="s">
        <v>87</v>
      </c>
      <c r="F81" t="s">
        <v>20</v>
      </c>
      <c r="G81" t="s">
        <v>48</v>
      </c>
      <c r="H81" t="s">
        <v>105</v>
      </c>
      <c r="I81" s="17">
        <v>2</v>
      </c>
      <c r="J81" s="7">
        <v>21000</v>
      </c>
      <c r="K81" s="8">
        <v>0.15</v>
      </c>
      <c r="L81" s="7">
        <v>35700</v>
      </c>
      <c r="M81" s="7">
        <f>CleanSalesTable[[#This Row],[Sales Amount]]-CleanSalesTable[[#This Row],[Unit Price]]</f>
        <v>14700</v>
      </c>
      <c r="N81" t="s">
        <v>58</v>
      </c>
      <c r="O81" t="s">
        <v>79</v>
      </c>
      <c r="P81" t="str">
        <f t="shared" si="3"/>
        <v>Medium</v>
      </c>
      <c r="Q81" t="str">
        <f t="shared" si="4"/>
        <v>Profit</v>
      </c>
      <c r="R81" s="9" t="str">
        <f t="shared" si="5"/>
        <v>May</v>
      </c>
    </row>
    <row r="82" spans="1:18" x14ac:dyDescent="0.25">
      <c r="A82" s="5" t="s">
        <v>163</v>
      </c>
      <c r="B82" s="16">
        <v>45977</v>
      </c>
      <c r="C82" t="s">
        <v>94</v>
      </c>
      <c r="D82" t="s">
        <v>18</v>
      </c>
      <c r="E82" t="s">
        <v>19</v>
      </c>
      <c r="F82" t="s">
        <v>20</v>
      </c>
      <c r="G82" t="s">
        <v>77</v>
      </c>
      <c r="H82" t="s">
        <v>78</v>
      </c>
      <c r="I82" s="17">
        <v>1</v>
      </c>
      <c r="J82" s="7">
        <v>21000</v>
      </c>
      <c r="K82" s="8">
        <v>0.05</v>
      </c>
      <c r="L82" s="7">
        <v>19950</v>
      </c>
      <c r="M82" s="7">
        <f>CleanSalesTable[[#This Row],[Sales Amount]]-CleanSalesTable[[#This Row],[Unit Price]]</f>
        <v>-1050</v>
      </c>
      <c r="N82" t="s">
        <v>50</v>
      </c>
      <c r="O82" t="s">
        <v>97</v>
      </c>
      <c r="P82" t="str">
        <f t="shared" si="3"/>
        <v>Low</v>
      </c>
      <c r="Q82" t="str">
        <f t="shared" si="4"/>
        <v>Loss</v>
      </c>
      <c r="R82" s="9" t="str">
        <f t="shared" si="5"/>
        <v>Nov</v>
      </c>
    </row>
    <row r="83" spans="1:18" x14ac:dyDescent="0.25">
      <c r="A83" s="5" t="s">
        <v>164</v>
      </c>
      <c r="B83" s="16">
        <v>45926</v>
      </c>
      <c r="C83" t="s">
        <v>118</v>
      </c>
      <c r="D83" t="s">
        <v>47</v>
      </c>
      <c r="E83" t="s">
        <v>19</v>
      </c>
      <c r="F83" t="s">
        <v>20</v>
      </c>
      <c r="G83" t="s">
        <v>77</v>
      </c>
      <c r="H83" t="s">
        <v>111</v>
      </c>
      <c r="I83" s="17">
        <v>1</v>
      </c>
      <c r="J83" s="7">
        <v>29000</v>
      </c>
      <c r="K83" s="8">
        <v>0.1</v>
      </c>
      <c r="L83" s="7">
        <v>26100</v>
      </c>
      <c r="M83" s="7">
        <f>CleanSalesTable[[#This Row],[Sales Amount]]-CleanSalesTable[[#This Row],[Unit Price]]</f>
        <v>-2900</v>
      </c>
      <c r="N83" t="s">
        <v>50</v>
      </c>
      <c r="O83" t="s">
        <v>32</v>
      </c>
      <c r="P83" t="str">
        <f t="shared" si="3"/>
        <v>Low</v>
      </c>
      <c r="Q83" t="str">
        <f t="shared" si="4"/>
        <v>Loss</v>
      </c>
      <c r="R83" s="9" t="str">
        <f t="shared" si="5"/>
        <v>Sep</v>
      </c>
    </row>
    <row r="84" spans="1:18" x14ac:dyDescent="0.25">
      <c r="A84" s="5" t="s">
        <v>165</v>
      </c>
      <c r="B84" s="16">
        <v>45971</v>
      </c>
      <c r="C84" t="s">
        <v>84</v>
      </c>
      <c r="D84" t="s">
        <v>18</v>
      </c>
      <c r="E84" t="s">
        <v>19</v>
      </c>
      <c r="F84" t="s">
        <v>20</v>
      </c>
      <c r="G84" t="s">
        <v>48</v>
      </c>
      <c r="H84" t="s">
        <v>90</v>
      </c>
      <c r="I84" s="17">
        <v>4</v>
      </c>
      <c r="J84" s="7">
        <v>14500</v>
      </c>
      <c r="K84" s="8">
        <v>0</v>
      </c>
      <c r="L84" s="7">
        <v>58000</v>
      </c>
      <c r="M84" s="7">
        <f>CleanSalesTable[[#This Row],[Sales Amount]]-CleanSalesTable[[#This Row],[Unit Price]]</f>
        <v>43500</v>
      </c>
      <c r="N84" t="s">
        <v>38</v>
      </c>
      <c r="O84" t="s">
        <v>74</v>
      </c>
      <c r="P84" t="str">
        <f t="shared" si="3"/>
        <v>Medium</v>
      </c>
      <c r="Q84" t="str">
        <f t="shared" si="4"/>
        <v>Profit</v>
      </c>
      <c r="R84" s="9" t="str">
        <f t="shared" si="5"/>
        <v>Nov</v>
      </c>
    </row>
    <row r="85" spans="1:18" x14ac:dyDescent="0.25">
      <c r="A85" s="5" t="s">
        <v>166</v>
      </c>
      <c r="B85" s="16">
        <v>45909</v>
      </c>
      <c r="C85" t="s">
        <v>46</v>
      </c>
      <c r="D85" t="s">
        <v>92</v>
      </c>
      <c r="E85" t="s">
        <v>42</v>
      </c>
      <c r="F85" t="s">
        <v>43</v>
      </c>
      <c r="G85" t="s">
        <v>21</v>
      </c>
      <c r="H85" t="s">
        <v>22</v>
      </c>
      <c r="I85" s="17">
        <v>2</v>
      </c>
      <c r="J85" s="7">
        <v>1500</v>
      </c>
      <c r="K85" s="8">
        <v>0.05</v>
      </c>
      <c r="L85" s="7">
        <v>2850</v>
      </c>
      <c r="M85" s="7">
        <f>CleanSalesTable[[#This Row],[Sales Amount]]-CleanSalesTable[[#This Row],[Unit Price]]</f>
        <v>1350</v>
      </c>
      <c r="N85" t="s">
        <v>73</v>
      </c>
      <c r="O85" t="s">
        <v>24</v>
      </c>
      <c r="P85" t="str">
        <f t="shared" si="3"/>
        <v>Low</v>
      </c>
      <c r="Q85" t="str">
        <f t="shared" si="4"/>
        <v>Profit</v>
      </c>
      <c r="R85" s="9" t="str">
        <f t="shared" si="5"/>
        <v>Sep</v>
      </c>
    </row>
    <row r="86" spans="1:18" x14ac:dyDescent="0.25">
      <c r="A86" s="5" t="s">
        <v>167</v>
      </c>
      <c r="B86" s="16">
        <v>45717</v>
      </c>
      <c r="C86" t="s">
        <v>61</v>
      </c>
      <c r="D86" t="s">
        <v>102</v>
      </c>
      <c r="E86" t="s">
        <v>36</v>
      </c>
      <c r="F86" t="s">
        <v>29</v>
      </c>
      <c r="G86" t="s">
        <v>48</v>
      </c>
      <c r="H86" t="s">
        <v>90</v>
      </c>
      <c r="I86" s="17">
        <v>3</v>
      </c>
      <c r="J86" s="7">
        <v>14500</v>
      </c>
      <c r="K86" s="8">
        <v>0.1</v>
      </c>
      <c r="L86" s="7">
        <v>39150</v>
      </c>
      <c r="M86" s="7">
        <f>CleanSalesTable[[#This Row],[Sales Amount]]-CleanSalesTable[[#This Row],[Unit Price]]</f>
        <v>24650</v>
      </c>
      <c r="N86" t="s">
        <v>23</v>
      </c>
      <c r="O86" t="s">
        <v>51</v>
      </c>
      <c r="P86" t="str">
        <f t="shared" si="3"/>
        <v>Medium</v>
      </c>
      <c r="Q86" t="str">
        <f t="shared" si="4"/>
        <v>Profit</v>
      </c>
      <c r="R86" s="9" t="str">
        <f t="shared" si="5"/>
        <v>Mar</v>
      </c>
    </row>
    <row r="87" spans="1:18" x14ac:dyDescent="0.25">
      <c r="A87" s="5" t="s">
        <v>168</v>
      </c>
      <c r="B87" s="16">
        <v>45658</v>
      </c>
      <c r="C87" t="s">
        <v>26</v>
      </c>
      <c r="D87" t="s">
        <v>76</v>
      </c>
      <c r="E87" t="s">
        <v>42</v>
      </c>
      <c r="F87" t="s">
        <v>43</v>
      </c>
      <c r="G87" t="s">
        <v>21</v>
      </c>
      <c r="H87" t="s">
        <v>22</v>
      </c>
      <c r="I87" s="17">
        <v>4</v>
      </c>
      <c r="J87" s="7">
        <v>1500</v>
      </c>
      <c r="K87" s="8">
        <v>0.1</v>
      </c>
      <c r="L87" s="7">
        <v>5400</v>
      </c>
      <c r="M87" s="7">
        <f>CleanSalesTable[[#This Row],[Sales Amount]]-CleanSalesTable[[#This Row],[Unit Price]]</f>
        <v>3900</v>
      </c>
      <c r="N87" t="s">
        <v>23</v>
      </c>
      <c r="O87" t="s">
        <v>39</v>
      </c>
      <c r="P87" t="str">
        <f t="shared" si="3"/>
        <v>Low</v>
      </c>
      <c r="Q87" t="str">
        <f t="shared" si="4"/>
        <v>Profit</v>
      </c>
      <c r="R87" s="9" t="str">
        <f t="shared" si="5"/>
        <v>Jan</v>
      </c>
    </row>
    <row r="88" spans="1:18" x14ac:dyDescent="0.25">
      <c r="A88" s="5" t="s">
        <v>169</v>
      </c>
      <c r="B88" s="16">
        <v>45807</v>
      </c>
      <c r="C88" t="s">
        <v>34</v>
      </c>
      <c r="D88" t="s">
        <v>138</v>
      </c>
      <c r="E88" t="s">
        <v>28</v>
      </c>
      <c r="F88" t="s">
        <v>29</v>
      </c>
      <c r="G88" t="s">
        <v>77</v>
      </c>
      <c r="H88" t="s">
        <v>99</v>
      </c>
      <c r="I88" s="17">
        <v>3</v>
      </c>
      <c r="J88" s="7">
        <v>24000</v>
      </c>
      <c r="K88" s="8">
        <v>0</v>
      </c>
      <c r="L88" s="7">
        <v>72000</v>
      </c>
      <c r="M88" s="7">
        <f>CleanSalesTable[[#This Row],[Sales Amount]]-CleanSalesTable[[#This Row],[Unit Price]]</f>
        <v>48000</v>
      </c>
      <c r="N88" t="s">
        <v>23</v>
      </c>
      <c r="O88" t="s">
        <v>59</v>
      </c>
      <c r="P88" t="str">
        <f t="shared" si="3"/>
        <v>Medium</v>
      </c>
      <c r="Q88" t="str">
        <f t="shared" si="4"/>
        <v>Profit</v>
      </c>
      <c r="R88" s="9" t="str">
        <f t="shared" si="5"/>
        <v>May</v>
      </c>
    </row>
    <row r="89" spans="1:18" x14ac:dyDescent="0.25">
      <c r="A89" s="5" t="s">
        <v>170</v>
      </c>
      <c r="B89" s="16">
        <v>45723</v>
      </c>
      <c r="C89" t="s">
        <v>84</v>
      </c>
      <c r="D89" t="s">
        <v>86</v>
      </c>
      <c r="E89" t="s">
        <v>87</v>
      </c>
      <c r="F89" t="s">
        <v>20</v>
      </c>
      <c r="G89" t="s">
        <v>54</v>
      </c>
      <c r="H89" t="s">
        <v>68</v>
      </c>
      <c r="I89" s="17">
        <v>2</v>
      </c>
      <c r="J89" s="7">
        <v>52000</v>
      </c>
      <c r="K89" s="8">
        <v>0.1</v>
      </c>
      <c r="L89" s="7">
        <v>93600</v>
      </c>
      <c r="M89" s="7">
        <f>CleanSalesTable[[#This Row],[Sales Amount]]-CleanSalesTable[[#This Row],[Unit Price]]</f>
        <v>41600</v>
      </c>
      <c r="N89" t="s">
        <v>23</v>
      </c>
      <c r="O89" t="s">
        <v>59</v>
      </c>
      <c r="P89" t="str">
        <f t="shared" si="3"/>
        <v>Medium</v>
      </c>
      <c r="Q89" t="str">
        <f t="shared" si="4"/>
        <v>Profit</v>
      </c>
      <c r="R89" s="9" t="str">
        <f t="shared" si="5"/>
        <v>Mar</v>
      </c>
    </row>
    <row r="90" spans="1:18" x14ac:dyDescent="0.25">
      <c r="A90" s="5" t="s">
        <v>171</v>
      </c>
      <c r="B90" s="16">
        <v>45675</v>
      </c>
      <c r="C90" t="s">
        <v>34</v>
      </c>
      <c r="D90" t="s">
        <v>41</v>
      </c>
      <c r="E90" t="s">
        <v>42</v>
      </c>
      <c r="F90" t="s">
        <v>43</v>
      </c>
      <c r="G90" t="s">
        <v>54</v>
      </c>
      <c r="H90" t="s">
        <v>63</v>
      </c>
      <c r="I90" s="17">
        <v>2</v>
      </c>
      <c r="J90" s="7">
        <v>61000</v>
      </c>
      <c r="K90" s="8">
        <v>0.15</v>
      </c>
      <c r="L90" s="7">
        <v>103700</v>
      </c>
      <c r="M90" s="7">
        <f>CleanSalesTable[[#This Row],[Sales Amount]]-CleanSalesTable[[#This Row],[Unit Price]]</f>
        <v>42700</v>
      </c>
      <c r="N90" t="s">
        <v>73</v>
      </c>
      <c r="O90" t="s">
        <v>74</v>
      </c>
      <c r="P90" t="str">
        <f t="shared" si="3"/>
        <v>High</v>
      </c>
      <c r="Q90" t="str">
        <f t="shared" si="4"/>
        <v>Profit</v>
      </c>
      <c r="R90" s="9" t="str">
        <f t="shared" si="5"/>
        <v>Jan</v>
      </c>
    </row>
    <row r="91" spans="1:18" x14ac:dyDescent="0.25">
      <c r="A91" s="5" t="s">
        <v>172</v>
      </c>
      <c r="B91" s="16">
        <v>45775</v>
      </c>
      <c r="C91" t="s">
        <v>53</v>
      </c>
      <c r="D91" t="s">
        <v>95</v>
      </c>
      <c r="E91" t="s">
        <v>87</v>
      </c>
      <c r="F91" t="s">
        <v>20</v>
      </c>
      <c r="G91" t="s">
        <v>48</v>
      </c>
      <c r="H91" t="s">
        <v>90</v>
      </c>
      <c r="I91" s="17">
        <v>3</v>
      </c>
      <c r="J91" s="7">
        <v>14500</v>
      </c>
      <c r="K91" s="8">
        <v>0</v>
      </c>
      <c r="L91" s="7">
        <v>43500</v>
      </c>
      <c r="M91" s="7">
        <f>CleanSalesTable[[#This Row],[Sales Amount]]-CleanSalesTable[[#This Row],[Unit Price]]</f>
        <v>29000</v>
      </c>
      <c r="N91" t="s">
        <v>73</v>
      </c>
      <c r="O91" t="s">
        <v>97</v>
      </c>
      <c r="P91" t="str">
        <f t="shared" si="3"/>
        <v>Medium</v>
      </c>
      <c r="Q91" t="str">
        <f t="shared" si="4"/>
        <v>Profit</v>
      </c>
      <c r="R91" s="9" t="str">
        <f t="shared" si="5"/>
        <v>Apr</v>
      </c>
    </row>
    <row r="92" spans="1:18" x14ac:dyDescent="0.25">
      <c r="A92" s="5" t="s">
        <v>173</v>
      </c>
      <c r="B92" s="16">
        <v>45791</v>
      </c>
      <c r="C92" t="s">
        <v>61</v>
      </c>
      <c r="D92" t="s">
        <v>71</v>
      </c>
      <c r="E92" t="s">
        <v>72</v>
      </c>
      <c r="F92" t="s">
        <v>43</v>
      </c>
      <c r="G92" t="s">
        <v>54</v>
      </c>
      <c r="H92" t="s">
        <v>63</v>
      </c>
      <c r="I92" s="17">
        <v>3</v>
      </c>
      <c r="J92" s="7">
        <v>61000</v>
      </c>
      <c r="K92" s="8">
        <v>0</v>
      </c>
      <c r="L92" s="7">
        <v>183000</v>
      </c>
      <c r="M92" s="7">
        <f>CleanSalesTable[[#This Row],[Sales Amount]]-CleanSalesTable[[#This Row],[Unit Price]]</f>
        <v>122000</v>
      </c>
      <c r="N92" t="s">
        <v>23</v>
      </c>
      <c r="O92" t="s">
        <v>74</v>
      </c>
      <c r="P92" t="str">
        <f t="shared" si="3"/>
        <v>High</v>
      </c>
      <c r="Q92" t="str">
        <f t="shared" si="4"/>
        <v>Profit</v>
      </c>
      <c r="R92" s="9" t="str">
        <f t="shared" si="5"/>
        <v>May</v>
      </c>
    </row>
    <row r="93" spans="1:18" x14ac:dyDescent="0.25">
      <c r="A93" s="5" t="s">
        <v>174</v>
      </c>
      <c r="B93" s="16">
        <v>45834</v>
      </c>
      <c r="C93" t="s">
        <v>61</v>
      </c>
      <c r="D93" t="s">
        <v>95</v>
      </c>
      <c r="E93" t="s">
        <v>87</v>
      </c>
      <c r="F93" t="s">
        <v>20</v>
      </c>
      <c r="G93" t="s">
        <v>77</v>
      </c>
      <c r="H93" t="s">
        <v>99</v>
      </c>
      <c r="I93" s="17">
        <v>4</v>
      </c>
      <c r="J93" s="7">
        <v>24000</v>
      </c>
      <c r="K93" s="8">
        <v>0</v>
      </c>
      <c r="L93" s="7">
        <v>96000</v>
      </c>
      <c r="M93" s="7">
        <f>CleanSalesTable[[#This Row],[Sales Amount]]-CleanSalesTable[[#This Row],[Unit Price]]</f>
        <v>72000</v>
      </c>
      <c r="N93" t="s">
        <v>23</v>
      </c>
      <c r="O93" t="s">
        <v>51</v>
      </c>
      <c r="P93" t="str">
        <f t="shared" si="3"/>
        <v>Medium</v>
      </c>
      <c r="Q93" t="str">
        <f t="shared" si="4"/>
        <v>Profit</v>
      </c>
      <c r="R93" s="9" t="str">
        <f t="shared" si="5"/>
        <v>Jun</v>
      </c>
    </row>
    <row r="94" spans="1:18" x14ac:dyDescent="0.25">
      <c r="A94" s="5" t="s">
        <v>175</v>
      </c>
      <c r="B94" s="16">
        <v>45766</v>
      </c>
      <c r="C94" t="s">
        <v>70</v>
      </c>
      <c r="D94" t="s">
        <v>62</v>
      </c>
      <c r="E94" t="s">
        <v>28</v>
      </c>
      <c r="F94" t="s">
        <v>29</v>
      </c>
      <c r="G94" t="s">
        <v>54</v>
      </c>
      <c r="H94" t="s">
        <v>63</v>
      </c>
      <c r="I94" s="17">
        <v>2</v>
      </c>
      <c r="J94" s="7">
        <v>61000</v>
      </c>
      <c r="K94" s="8">
        <v>0.1</v>
      </c>
      <c r="L94" s="7">
        <v>109800</v>
      </c>
      <c r="M94" s="7">
        <f>CleanSalesTable[[#This Row],[Sales Amount]]-CleanSalesTable[[#This Row],[Unit Price]]</f>
        <v>48800</v>
      </c>
      <c r="N94" t="s">
        <v>23</v>
      </c>
      <c r="O94" t="s">
        <v>39</v>
      </c>
      <c r="P94" t="str">
        <f t="shared" si="3"/>
        <v>High</v>
      </c>
      <c r="Q94" t="str">
        <f t="shared" si="4"/>
        <v>Profit</v>
      </c>
      <c r="R94" s="9" t="str">
        <f t="shared" si="5"/>
        <v>Apr</v>
      </c>
    </row>
    <row r="95" spans="1:18" x14ac:dyDescent="0.25">
      <c r="A95" s="5" t="s">
        <v>176</v>
      </c>
      <c r="B95" s="16">
        <v>45704</v>
      </c>
      <c r="C95" t="s">
        <v>94</v>
      </c>
      <c r="D95" t="s">
        <v>81</v>
      </c>
      <c r="E95" t="s">
        <v>72</v>
      </c>
      <c r="F95" t="s">
        <v>43</v>
      </c>
      <c r="G95" t="s">
        <v>21</v>
      </c>
      <c r="H95" t="s">
        <v>82</v>
      </c>
      <c r="I95" s="17">
        <v>2</v>
      </c>
      <c r="J95" s="7">
        <v>900</v>
      </c>
      <c r="K95" s="8">
        <v>0.05</v>
      </c>
      <c r="L95" s="7">
        <v>1710</v>
      </c>
      <c r="M95" s="7">
        <f>CleanSalesTable[[#This Row],[Sales Amount]]-CleanSalesTable[[#This Row],[Unit Price]]</f>
        <v>810</v>
      </c>
      <c r="N95" t="s">
        <v>73</v>
      </c>
      <c r="O95" t="s">
        <v>32</v>
      </c>
      <c r="P95" t="str">
        <f t="shared" si="3"/>
        <v>Low</v>
      </c>
      <c r="Q95" t="str">
        <f t="shared" si="4"/>
        <v>Profit</v>
      </c>
      <c r="R95" s="9" t="str">
        <f t="shared" si="5"/>
        <v>Feb</v>
      </c>
    </row>
    <row r="96" spans="1:18" x14ac:dyDescent="0.25">
      <c r="A96" s="5" t="s">
        <v>177</v>
      </c>
      <c r="B96" s="16">
        <v>45771</v>
      </c>
      <c r="C96" t="s">
        <v>17</v>
      </c>
      <c r="D96" t="s">
        <v>81</v>
      </c>
      <c r="E96" t="s">
        <v>72</v>
      </c>
      <c r="F96" t="s">
        <v>43</v>
      </c>
      <c r="G96" t="s">
        <v>77</v>
      </c>
      <c r="H96" t="s">
        <v>111</v>
      </c>
      <c r="I96" s="17">
        <v>1</v>
      </c>
      <c r="J96" s="7">
        <v>29000</v>
      </c>
      <c r="K96" s="8">
        <v>0</v>
      </c>
      <c r="L96" s="7">
        <v>29000</v>
      </c>
      <c r="M96" s="7">
        <f>CleanSalesTable[[#This Row],[Sales Amount]]-CleanSalesTable[[#This Row],[Unit Price]]</f>
        <v>0</v>
      </c>
      <c r="N96" t="s">
        <v>50</v>
      </c>
      <c r="O96" t="s">
        <v>59</v>
      </c>
      <c r="P96" t="str">
        <f t="shared" si="3"/>
        <v>Low</v>
      </c>
      <c r="Q96" t="str">
        <f t="shared" si="4"/>
        <v>Loss</v>
      </c>
      <c r="R96" s="9" t="str">
        <f t="shared" si="5"/>
        <v>Apr</v>
      </c>
    </row>
    <row r="97" spans="1:18" x14ac:dyDescent="0.25">
      <c r="A97" s="5" t="s">
        <v>178</v>
      </c>
      <c r="B97" s="16">
        <v>45858</v>
      </c>
      <c r="C97" t="s">
        <v>70</v>
      </c>
      <c r="D97" t="s">
        <v>102</v>
      </c>
      <c r="E97" t="s">
        <v>36</v>
      </c>
      <c r="F97" t="s">
        <v>29</v>
      </c>
      <c r="G97" t="s">
        <v>77</v>
      </c>
      <c r="H97" t="s">
        <v>78</v>
      </c>
      <c r="I97" s="17">
        <v>1</v>
      </c>
      <c r="J97" s="7">
        <v>21000</v>
      </c>
      <c r="K97" s="8">
        <v>0</v>
      </c>
      <c r="L97" s="7">
        <v>21000</v>
      </c>
      <c r="M97" s="7">
        <f>CleanSalesTable[[#This Row],[Sales Amount]]-CleanSalesTable[[#This Row],[Unit Price]]</f>
        <v>0</v>
      </c>
      <c r="N97" t="s">
        <v>23</v>
      </c>
      <c r="O97" t="s">
        <v>59</v>
      </c>
      <c r="P97" t="str">
        <f t="shared" si="3"/>
        <v>Low</v>
      </c>
      <c r="Q97" t="str">
        <f t="shared" si="4"/>
        <v>Loss</v>
      </c>
      <c r="R97" s="9" t="str">
        <f t="shared" si="5"/>
        <v>Jul</v>
      </c>
    </row>
    <row r="98" spans="1:18" x14ac:dyDescent="0.25">
      <c r="A98" s="5" t="s">
        <v>179</v>
      </c>
      <c r="B98" s="16">
        <v>45842</v>
      </c>
      <c r="C98" t="s">
        <v>84</v>
      </c>
      <c r="D98" t="s">
        <v>102</v>
      </c>
      <c r="E98" t="s">
        <v>36</v>
      </c>
      <c r="F98" t="s">
        <v>29</v>
      </c>
      <c r="G98" t="s">
        <v>77</v>
      </c>
      <c r="H98" t="s">
        <v>78</v>
      </c>
      <c r="I98" s="17">
        <v>1</v>
      </c>
      <c r="J98" s="7">
        <v>21000</v>
      </c>
      <c r="K98" s="8">
        <v>0.05</v>
      </c>
      <c r="L98" s="7">
        <v>19950</v>
      </c>
      <c r="M98" s="7">
        <f>CleanSalesTable[[#This Row],[Sales Amount]]-CleanSalesTable[[#This Row],[Unit Price]]</f>
        <v>-1050</v>
      </c>
      <c r="N98" t="s">
        <v>23</v>
      </c>
      <c r="O98" t="s">
        <v>79</v>
      </c>
      <c r="P98" t="str">
        <f t="shared" si="3"/>
        <v>Low</v>
      </c>
      <c r="Q98" t="str">
        <f t="shared" si="4"/>
        <v>Loss</v>
      </c>
      <c r="R98" s="9" t="str">
        <f t="shared" si="5"/>
        <v>Jul</v>
      </c>
    </row>
    <row r="99" spans="1:18" x14ac:dyDescent="0.25">
      <c r="A99" s="5" t="s">
        <v>180</v>
      </c>
      <c r="B99" s="16">
        <v>45778</v>
      </c>
      <c r="C99" t="s">
        <v>26</v>
      </c>
      <c r="D99" t="s">
        <v>92</v>
      </c>
      <c r="E99" t="s">
        <v>42</v>
      </c>
      <c r="F99" t="s">
        <v>43</v>
      </c>
      <c r="G99" t="s">
        <v>48</v>
      </c>
      <c r="H99" t="s">
        <v>90</v>
      </c>
      <c r="I99" s="17">
        <v>1</v>
      </c>
      <c r="J99" s="7">
        <v>14500</v>
      </c>
      <c r="K99" s="8">
        <v>0.1</v>
      </c>
      <c r="L99" s="7">
        <v>13050</v>
      </c>
      <c r="M99" s="7">
        <f>CleanSalesTable[[#This Row],[Sales Amount]]-CleanSalesTable[[#This Row],[Unit Price]]</f>
        <v>-1450</v>
      </c>
      <c r="N99" t="s">
        <v>73</v>
      </c>
      <c r="O99" t="s">
        <v>32</v>
      </c>
      <c r="P99" t="str">
        <f t="shared" si="3"/>
        <v>Low</v>
      </c>
      <c r="Q99" t="str">
        <f t="shared" si="4"/>
        <v>Loss</v>
      </c>
      <c r="R99" s="9" t="str">
        <f t="shared" si="5"/>
        <v>May</v>
      </c>
    </row>
    <row r="100" spans="1:18" x14ac:dyDescent="0.25">
      <c r="A100" s="5" t="s">
        <v>181</v>
      </c>
      <c r="B100" s="16">
        <v>45817</v>
      </c>
      <c r="C100" t="s">
        <v>118</v>
      </c>
      <c r="D100" t="s">
        <v>47</v>
      </c>
      <c r="E100" t="s">
        <v>19</v>
      </c>
      <c r="F100" t="s">
        <v>20</v>
      </c>
      <c r="G100" t="s">
        <v>54</v>
      </c>
      <c r="H100" t="s">
        <v>63</v>
      </c>
      <c r="I100" s="17">
        <v>1</v>
      </c>
      <c r="J100" s="7">
        <v>61000</v>
      </c>
      <c r="K100" s="8">
        <v>0.05</v>
      </c>
      <c r="L100" s="7">
        <v>57950</v>
      </c>
      <c r="M100" s="7">
        <f>CleanSalesTable[[#This Row],[Sales Amount]]-CleanSalesTable[[#This Row],[Unit Price]]</f>
        <v>-3050</v>
      </c>
      <c r="N100" t="s">
        <v>58</v>
      </c>
      <c r="O100" t="s">
        <v>79</v>
      </c>
      <c r="P100" t="str">
        <f t="shared" si="3"/>
        <v>Medium</v>
      </c>
      <c r="Q100" t="str">
        <f t="shared" si="4"/>
        <v>Loss</v>
      </c>
      <c r="R100" s="9" t="str">
        <f t="shared" si="5"/>
        <v>Jun</v>
      </c>
    </row>
    <row r="101" spans="1:18" x14ac:dyDescent="0.25">
      <c r="A101" s="5" t="s">
        <v>182</v>
      </c>
      <c r="B101" s="16">
        <v>45947</v>
      </c>
      <c r="C101" t="s">
        <v>84</v>
      </c>
      <c r="D101" t="s">
        <v>86</v>
      </c>
      <c r="E101" t="s">
        <v>87</v>
      </c>
      <c r="F101" t="s">
        <v>20</v>
      </c>
      <c r="G101" t="s">
        <v>48</v>
      </c>
      <c r="H101" t="s">
        <v>49</v>
      </c>
      <c r="I101" s="17">
        <v>3</v>
      </c>
      <c r="J101" s="7">
        <v>13500</v>
      </c>
      <c r="K101" s="8">
        <v>0.15</v>
      </c>
      <c r="L101" s="7">
        <v>34425</v>
      </c>
      <c r="M101" s="7">
        <f>CleanSalesTable[[#This Row],[Sales Amount]]-CleanSalesTable[[#This Row],[Unit Price]]</f>
        <v>20925</v>
      </c>
      <c r="N101" t="s">
        <v>73</v>
      </c>
      <c r="O101" t="s">
        <v>59</v>
      </c>
      <c r="P101" t="str">
        <f t="shared" si="3"/>
        <v>Medium</v>
      </c>
      <c r="Q101" t="str">
        <f t="shared" si="4"/>
        <v>Profit</v>
      </c>
      <c r="R101" s="9" t="str">
        <f t="shared" si="5"/>
        <v>Oct</v>
      </c>
    </row>
    <row r="102" spans="1:18" x14ac:dyDescent="0.25">
      <c r="A102" s="5" t="s">
        <v>183</v>
      </c>
      <c r="B102" s="16">
        <v>45725</v>
      </c>
      <c r="C102" t="s">
        <v>61</v>
      </c>
      <c r="D102" t="s">
        <v>95</v>
      </c>
      <c r="E102" t="s">
        <v>87</v>
      </c>
      <c r="F102" t="s">
        <v>20</v>
      </c>
      <c r="G102" t="s">
        <v>48</v>
      </c>
      <c r="H102" t="s">
        <v>105</v>
      </c>
      <c r="I102" s="17">
        <v>3</v>
      </c>
      <c r="J102" s="7">
        <v>21000</v>
      </c>
      <c r="K102" s="8">
        <v>0.1</v>
      </c>
      <c r="L102" s="7">
        <v>56700</v>
      </c>
      <c r="M102" s="7">
        <f>CleanSalesTable[[#This Row],[Sales Amount]]-CleanSalesTable[[#This Row],[Unit Price]]</f>
        <v>35700</v>
      </c>
      <c r="N102" t="s">
        <v>23</v>
      </c>
      <c r="O102" t="s">
        <v>59</v>
      </c>
      <c r="P102" t="str">
        <f t="shared" si="3"/>
        <v>Medium</v>
      </c>
      <c r="Q102" t="str">
        <f t="shared" si="4"/>
        <v>Profit</v>
      </c>
      <c r="R102" s="9" t="str">
        <f t="shared" si="5"/>
        <v>Mar</v>
      </c>
    </row>
    <row r="103" spans="1:18" x14ac:dyDescent="0.25">
      <c r="A103" s="5" t="s">
        <v>184</v>
      </c>
      <c r="B103" s="16">
        <v>45738</v>
      </c>
      <c r="C103" t="s">
        <v>53</v>
      </c>
      <c r="D103" t="s">
        <v>92</v>
      </c>
      <c r="E103" t="s">
        <v>42</v>
      </c>
      <c r="F103" t="s">
        <v>43</v>
      </c>
      <c r="G103" t="s">
        <v>30</v>
      </c>
      <c r="H103" t="s">
        <v>57</v>
      </c>
      <c r="I103" s="17">
        <v>2</v>
      </c>
      <c r="J103" s="7">
        <v>4500</v>
      </c>
      <c r="K103" s="8">
        <v>0.1</v>
      </c>
      <c r="L103" s="7">
        <v>8100</v>
      </c>
      <c r="M103" s="7">
        <f>CleanSalesTable[[#This Row],[Sales Amount]]-CleanSalesTable[[#This Row],[Unit Price]]</f>
        <v>3600</v>
      </c>
      <c r="N103" t="s">
        <v>50</v>
      </c>
      <c r="O103" t="s">
        <v>97</v>
      </c>
      <c r="P103" t="str">
        <f t="shared" si="3"/>
        <v>Low</v>
      </c>
      <c r="Q103" t="str">
        <f t="shared" si="4"/>
        <v>Profit</v>
      </c>
      <c r="R103" s="9" t="str">
        <f t="shared" si="5"/>
        <v>Mar</v>
      </c>
    </row>
    <row r="104" spans="1:18" x14ac:dyDescent="0.25">
      <c r="A104" s="5" t="s">
        <v>185</v>
      </c>
      <c r="B104" s="16">
        <v>45695</v>
      </c>
      <c r="C104" t="s">
        <v>61</v>
      </c>
      <c r="D104" t="s">
        <v>27</v>
      </c>
      <c r="E104" t="s">
        <v>28</v>
      </c>
      <c r="F104" t="s">
        <v>29</v>
      </c>
      <c r="G104" t="s">
        <v>77</v>
      </c>
      <c r="H104" t="s">
        <v>111</v>
      </c>
      <c r="I104" s="17">
        <v>3</v>
      </c>
      <c r="J104" s="7">
        <v>29000</v>
      </c>
      <c r="K104" s="8">
        <v>0.1</v>
      </c>
      <c r="L104" s="7">
        <v>78300</v>
      </c>
      <c r="M104" s="7">
        <f>CleanSalesTable[[#This Row],[Sales Amount]]-CleanSalesTable[[#This Row],[Unit Price]]</f>
        <v>49300</v>
      </c>
      <c r="N104" t="s">
        <v>50</v>
      </c>
      <c r="O104" t="s">
        <v>32</v>
      </c>
      <c r="P104" t="str">
        <f t="shared" si="3"/>
        <v>Medium</v>
      </c>
      <c r="Q104" t="str">
        <f t="shared" si="4"/>
        <v>Profit</v>
      </c>
      <c r="R104" s="9" t="str">
        <f t="shared" si="5"/>
        <v>Feb</v>
      </c>
    </row>
    <row r="105" spans="1:18" x14ac:dyDescent="0.25">
      <c r="A105" s="5" t="s">
        <v>186</v>
      </c>
      <c r="B105" s="16">
        <v>45848</v>
      </c>
      <c r="C105" t="s">
        <v>53</v>
      </c>
      <c r="D105" t="s">
        <v>18</v>
      </c>
      <c r="E105" t="s">
        <v>19</v>
      </c>
      <c r="F105" t="s">
        <v>20</v>
      </c>
      <c r="G105" t="s">
        <v>54</v>
      </c>
      <c r="H105" t="s">
        <v>68</v>
      </c>
      <c r="I105" s="17">
        <v>3</v>
      </c>
      <c r="J105" s="7">
        <v>52000</v>
      </c>
      <c r="K105" s="8">
        <v>0.05</v>
      </c>
      <c r="L105" s="7">
        <v>148200</v>
      </c>
      <c r="M105" s="7">
        <f>CleanSalesTable[[#This Row],[Sales Amount]]-CleanSalesTable[[#This Row],[Unit Price]]</f>
        <v>96200</v>
      </c>
      <c r="N105" t="s">
        <v>58</v>
      </c>
      <c r="O105" t="s">
        <v>24</v>
      </c>
      <c r="P105" t="str">
        <f t="shared" si="3"/>
        <v>High</v>
      </c>
      <c r="Q105" t="str">
        <f t="shared" si="4"/>
        <v>Profit</v>
      </c>
      <c r="R105" s="9" t="str">
        <f t="shared" si="5"/>
        <v>Jul</v>
      </c>
    </row>
    <row r="106" spans="1:18" x14ac:dyDescent="0.25">
      <c r="A106" s="5" t="s">
        <v>187</v>
      </c>
      <c r="B106" s="16">
        <v>45885</v>
      </c>
      <c r="C106" t="s">
        <v>34</v>
      </c>
      <c r="D106" t="s">
        <v>47</v>
      </c>
      <c r="E106" t="s">
        <v>19</v>
      </c>
      <c r="F106" t="s">
        <v>20</v>
      </c>
      <c r="G106" t="s">
        <v>21</v>
      </c>
      <c r="H106" t="s">
        <v>82</v>
      </c>
      <c r="I106" s="17">
        <v>1</v>
      </c>
      <c r="J106" s="7">
        <v>900</v>
      </c>
      <c r="K106" s="8">
        <v>0.15</v>
      </c>
      <c r="L106" s="7">
        <v>765</v>
      </c>
      <c r="M106" s="7">
        <f>CleanSalesTable[[#This Row],[Sales Amount]]-CleanSalesTable[[#This Row],[Unit Price]]</f>
        <v>-135</v>
      </c>
      <c r="N106" t="s">
        <v>50</v>
      </c>
      <c r="O106" t="s">
        <v>79</v>
      </c>
      <c r="P106" t="str">
        <f t="shared" si="3"/>
        <v>Low</v>
      </c>
      <c r="Q106" t="str">
        <f t="shared" si="4"/>
        <v>Loss</v>
      </c>
      <c r="R106" s="9" t="str">
        <f t="shared" si="5"/>
        <v>Aug</v>
      </c>
    </row>
    <row r="107" spans="1:18" x14ac:dyDescent="0.25">
      <c r="A107" s="5" t="s">
        <v>188</v>
      </c>
      <c r="B107" s="16">
        <v>45762</v>
      </c>
      <c r="C107" t="s">
        <v>94</v>
      </c>
      <c r="D107" t="s">
        <v>47</v>
      </c>
      <c r="E107" t="s">
        <v>19</v>
      </c>
      <c r="F107" t="s">
        <v>20</v>
      </c>
      <c r="G107" t="s">
        <v>54</v>
      </c>
      <c r="H107" t="s">
        <v>63</v>
      </c>
      <c r="I107" s="17">
        <v>1</v>
      </c>
      <c r="J107" s="7">
        <v>61000</v>
      </c>
      <c r="K107" s="8">
        <v>0</v>
      </c>
      <c r="L107" s="7">
        <v>61000</v>
      </c>
      <c r="M107" s="7">
        <f>CleanSalesTable[[#This Row],[Sales Amount]]-CleanSalesTable[[#This Row],[Unit Price]]</f>
        <v>0</v>
      </c>
      <c r="N107" t="s">
        <v>23</v>
      </c>
      <c r="O107" t="s">
        <v>97</v>
      </c>
      <c r="P107" t="str">
        <f t="shared" si="3"/>
        <v>Medium</v>
      </c>
      <c r="Q107" t="str">
        <f t="shared" si="4"/>
        <v>Loss</v>
      </c>
      <c r="R107" s="9" t="str">
        <f t="shared" si="5"/>
        <v>Apr</v>
      </c>
    </row>
    <row r="108" spans="1:18" x14ac:dyDescent="0.25">
      <c r="A108" s="5" t="s">
        <v>189</v>
      </c>
      <c r="B108" s="16">
        <v>45942</v>
      </c>
      <c r="C108" t="s">
        <v>70</v>
      </c>
      <c r="D108" t="s">
        <v>27</v>
      </c>
      <c r="E108" t="s">
        <v>28</v>
      </c>
      <c r="F108" t="s">
        <v>29</v>
      </c>
      <c r="G108" t="s">
        <v>54</v>
      </c>
      <c r="H108" t="s">
        <v>68</v>
      </c>
      <c r="I108" s="17">
        <v>4</v>
      </c>
      <c r="J108" s="7">
        <v>52000</v>
      </c>
      <c r="K108" s="8">
        <v>0</v>
      </c>
      <c r="L108" s="7">
        <v>208000</v>
      </c>
      <c r="M108" s="7">
        <f>CleanSalesTable[[#This Row],[Sales Amount]]-CleanSalesTable[[#This Row],[Unit Price]]</f>
        <v>156000</v>
      </c>
      <c r="N108" t="s">
        <v>50</v>
      </c>
      <c r="O108" t="s">
        <v>51</v>
      </c>
      <c r="P108" t="str">
        <f t="shared" si="3"/>
        <v>High</v>
      </c>
      <c r="Q108" t="str">
        <f t="shared" si="4"/>
        <v>Profit</v>
      </c>
      <c r="R108" s="9" t="str">
        <f t="shared" si="5"/>
        <v>Oct</v>
      </c>
    </row>
    <row r="109" spans="1:18" x14ac:dyDescent="0.25">
      <c r="A109" s="5" t="s">
        <v>190</v>
      </c>
      <c r="B109" s="16">
        <v>45989</v>
      </c>
      <c r="C109" t="s">
        <v>118</v>
      </c>
      <c r="D109" t="s">
        <v>27</v>
      </c>
      <c r="E109" t="s">
        <v>28</v>
      </c>
      <c r="F109" t="s">
        <v>29</v>
      </c>
      <c r="G109" t="s">
        <v>77</v>
      </c>
      <c r="H109" t="s">
        <v>78</v>
      </c>
      <c r="I109" s="17">
        <v>1</v>
      </c>
      <c r="J109" s="7">
        <v>21000</v>
      </c>
      <c r="K109" s="8">
        <v>0</v>
      </c>
      <c r="L109" s="7">
        <v>21000</v>
      </c>
      <c r="M109" s="7">
        <f>CleanSalesTable[[#This Row],[Sales Amount]]-CleanSalesTable[[#This Row],[Unit Price]]</f>
        <v>0</v>
      </c>
      <c r="N109" t="s">
        <v>23</v>
      </c>
      <c r="O109" t="s">
        <v>97</v>
      </c>
      <c r="P109" t="str">
        <f t="shared" si="3"/>
        <v>Low</v>
      </c>
      <c r="Q109" t="str">
        <f t="shared" si="4"/>
        <v>Loss</v>
      </c>
      <c r="R109" s="9" t="str">
        <f t="shared" si="5"/>
        <v>Nov</v>
      </c>
    </row>
    <row r="110" spans="1:18" x14ac:dyDescent="0.25">
      <c r="A110" s="5" t="s">
        <v>191</v>
      </c>
      <c r="B110" s="16">
        <v>46010</v>
      </c>
      <c r="C110" t="s">
        <v>46</v>
      </c>
      <c r="D110" t="s">
        <v>104</v>
      </c>
      <c r="E110" t="s">
        <v>19</v>
      </c>
      <c r="F110" t="s">
        <v>20</v>
      </c>
      <c r="G110" t="s">
        <v>30</v>
      </c>
      <c r="H110" t="s">
        <v>57</v>
      </c>
      <c r="I110" s="17">
        <v>4</v>
      </c>
      <c r="J110" s="7">
        <v>4500</v>
      </c>
      <c r="K110" s="8">
        <v>0</v>
      </c>
      <c r="L110" s="7">
        <v>18000</v>
      </c>
      <c r="M110" s="7">
        <f>CleanSalesTable[[#This Row],[Sales Amount]]-CleanSalesTable[[#This Row],[Unit Price]]</f>
        <v>13500</v>
      </c>
      <c r="N110" t="s">
        <v>38</v>
      </c>
      <c r="O110" t="s">
        <v>79</v>
      </c>
      <c r="P110" t="str">
        <f t="shared" si="3"/>
        <v>Low</v>
      </c>
      <c r="Q110" t="str">
        <f t="shared" si="4"/>
        <v>Profit</v>
      </c>
      <c r="R110" s="9" t="str">
        <f t="shared" si="5"/>
        <v>Dec</v>
      </c>
    </row>
    <row r="111" spans="1:18" x14ac:dyDescent="0.25">
      <c r="A111" s="5" t="s">
        <v>192</v>
      </c>
      <c r="B111" s="16">
        <v>45913</v>
      </c>
      <c r="C111" t="s">
        <v>46</v>
      </c>
      <c r="D111" t="s">
        <v>18</v>
      </c>
      <c r="E111" t="s">
        <v>19</v>
      </c>
      <c r="F111" t="s">
        <v>20</v>
      </c>
      <c r="G111" t="s">
        <v>77</v>
      </c>
      <c r="H111" t="s">
        <v>99</v>
      </c>
      <c r="I111" s="17">
        <v>2</v>
      </c>
      <c r="J111" s="7">
        <v>24000</v>
      </c>
      <c r="K111" s="8">
        <v>0.1</v>
      </c>
      <c r="L111" s="7">
        <v>43200</v>
      </c>
      <c r="M111" s="7">
        <f>CleanSalesTable[[#This Row],[Sales Amount]]-CleanSalesTable[[#This Row],[Unit Price]]</f>
        <v>19200</v>
      </c>
      <c r="N111" t="s">
        <v>50</v>
      </c>
      <c r="O111" t="s">
        <v>32</v>
      </c>
      <c r="P111" t="str">
        <f t="shared" si="3"/>
        <v>Medium</v>
      </c>
      <c r="Q111" t="str">
        <f t="shared" si="4"/>
        <v>Profit</v>
      </c>
      <c r="R111" s="9" t="str">
        <f t="shared" si="5"/>
        <v>Sep</v>
      </c>
    </row>
    <row r="112" spans="1:18" x14ac:dyDescent="0.25">
      <c r="A112" s="5" t="s">
        <v>193</v>
      </c>
      <c r="B112" s="16">
        <v>45995</v>
      </c>
      <c r="C112" t="s">
        <v>61</v>
      </c>
      <c r="D112" t="s">
        <v>35</v>
      </c>
      <c r="E112" t="s">
        <v>36</v>
      </c>
      <c r="F112" t="s">
        <v>29</v>
      </c>
      <c r="G112" t="s">
        <v>77</v>
      </c>
      <c r="H112" t="s">
        <v>111</v>
      </c>
      <c r="I112" s="17">
        <v>3</v>
      </c>
      <c r="J112" s="7">
        <v>29000</v>
      </c>
      <c r="K112" s="8">
        <v>0</v>
      </c>
      <c r="L112" s="7">
        <v>87000</v>
      </c>
      <c r="M112" s="7">
        <f>CleanSalesTable[[#This Row],[Sales Amount]]-CleanSalesTable[[#This Row],[Unit Price]]</f>
        <v>58000</v>
      </c>
      <c r="N112" t="s">
        <v>50</v>
      </c>
      <c r="O112" t="s">
        <v>24</v>
      </c>
      <c r="P112" t="str">
        <f t="shared" si="3"/>
        <v>Medium</v>
      </c>
      <c r="Q112" t="str">
        <f t="shared" si="4"/>
        <v>Profit</v>
      </c>
      <c r="R112" s="9" t="str">
        <f t="shared" si="5"/>
        <v>Dec</v>
      </c>
    </row>
    <row r="113" spans="1:18" x14ac:dyDescent="0.25">
      <c r="A113" s="5" t="s">
        <v>194</v>
      </c>
      <c r="B113" s="16">
        <v>45741</v>
      </c>
      <c r="C113" t="s">
        <v>46</v>
      </c>
      <c r="D113" t="s">
        <v>92</v>
      </c>
      <c r="E113" t="s">
        <v>42</v>
      </c>
      <c r="F113" t="s">
        <v>43</v>
      </c>
      <c r="G113" t="s">
        <v>30</v>
      </c>
      <c r="H113" t="s">
        <v>31</v>
      </c>
      <c r="I113" s="17">
        <v>4</v>
      </c>
      <c r="J113" s="7">
        <v>3200</v>
      </c>
      <c r="K113" s="8">
        <v>0.1</v>
      </c>
      <c r="L113" s="7">
        <v>11520</v>
      </c>
      <c r="M113" s="7">
        <f>CleanSalesTable[[#This Row],[Sales Amount]]-CleanSalesTable[[#This Row],[Unit Price]]</f>
        <v>8320</v>
      </c>
      <c r="N113" t="s">
        <v>50</v>
      </c>
      <c r="O113" t="s">
        <v>79</v>
      </c>
      <c r="P113" t="str">
        <f t="shared" si="3"/>
        <v>Low</v>
      </c>
      <c r="Q113" t="str">
        <f t="shared" si="4"/>
        <v>Profit</v>
      </c>
      <c r="R113" s="9" t="str">
        <f t="shared" si="5"/>
        <v>Mar</v>
      </c>
    </row>
    <row r="114" spans="1:18" x14ac:dyDescent="0.25">
      <c r="A114" s="5" t="s">
        <v>195</v>
      </c>
      <c r="B114" s="16">
        <v>45928</v>
      </c>
      <c r="C114" t="s">
        <v>94</v>
      </c>
      <c r="D114" t="s">
        <v>89</v>
      </c>
      <c r="E114" t="s">
        <v>87</v>
      </c>
      <c r="F114" t="s">
        <v>20</v>
      </c>
      <c r="G114" t="s">
        <v>48</v>
      </c>
      <c r="H114" t="s">
        <v>49</v>
      </c>
      <c r="I114" s="17">
        <v>2</v>
      </c>
      <c r="J114" s="7">
        <v>13500</v>
      </c>
      <c r="K114" s="8">
        <v>0</v>
      </c>
      <c r="L114" s="7">
        <v>27000</v>
      </c>
      <c r="M114" s="7">
        <f>CleanSalesTable[[#This Row],[Sales Amount]]-CleanSalesTable[[#This Row],[Unit Price]]</f>
        <v>13500</v>
      </c>
      <c r="N114" t="s">
        <v>73</v>
      </c>
      <c r="O114" t="s">
        <v>24</v>
      </c>
      <c r="P114" t="str">
        <f t="shared" si="3"/>
        <v>Low</v>
      </c>
      <c r="Q114" t="str">
        <f t="shared" si="4"/>
        <v>Profit</v>
      </c>
      <c r="R114" s="9" t="str">
        <f t="shared" si="5"/>
        <v>Sep</v>
      </c>
    </row>
    <row r="115" spans="1:18" x14ac:dyDescent="0.25">
      <c r="A115" s="5" t="s">
        <v>196</v>
      </c>
      <c r="B115" s="16">
        <v>45812</v>
      </c>
      <c r="C115" t="s">
        <v>84</v>
      </c>
      <c r="D115" t="s">
        <v>110</v>
      </c>
      <c r="E115" t="s">
        <v>72</v>
      </c>
      <c r="F115" t="s">
        <v>43</v>
      </c>
      <c r="G115" t="s">
        <v>48</v>
      </c>
      <c r="H115" t="s">
        <v>105</v>
      </c>
      <c r="I115" s="17">
        <v>4</v>
      </c>
      <c r="J115" s="7">
        <v>21000</v>
      </c>
      <c r="K115" s="8">
        <v>0.15</v>
      </c>
      <c r="L115" s="7">
        <v>71400</v>
      </c>
      <c r="M115" s="7">
        <f>CleanSalesTable[[#This Row],[Sales Amount]]-CleanSalesTable[[#This Row],[Unit Price]]</f>
        <v>50400</v>
      </c>
      <c r="N115" t="s">
        <v>73</v>
      </c>
      <c r="O115" t="s">
        <v>74</v>
      </c>
      <c r="P115" t="str">
        <f t="shared" si="3"/>
        <v>Medium</v>
      </c>
      <c r="Q115" t="str">
        <f t="shared" si="4"/>
        <v>Profit</v>
      </c>
      <c r="R115" s="9" t="str">
        <f t="shared" si="5"/>
        <v>Jun</v>
      </c>
    </row>
    <row r="116" spans="1:18" x14ac:dyDescent="0.25">
      <c r="A116" s="5" t="s">
        <v>197</v>
      </c>
      <c r="B116" s="16">
        <v>45880</v>
      </c>
      <c r="C116" t="s">
        <v>94</v>
      </c>
      <c r="D116" t="s">
        <v>41</v>
      </c>
      <c r="E116" t="s">
        <v>42</v>
      </c>
      <c r="F116" t="s">
        <v>43</v>
      </c>
      <c r="G116" t="s">
        <v>54</v>
      </c>
      <c r="H116" t="s">
        <v>68</v>
      </c>
      <c r="I116" s="17">
        <v>4</v>
      </c>
      <c r="J116" s="7">
        <v>52000</v>
      </c>
      <c r="K116" s="8">
        <v>0.15</v>
      </c>
      <c r="L116" s="7">
        <v>176800</v>
      </c>
      <c r="M116" s="7">
        <f>CleanSalesTable[[#This Row],[Sales Amount]]-CleanSalesTable[[#This Row],[Unit Price]]</f>
        <v>124800</v>
      </c>
      <c r="N116" t="s">
        <v>58</v>
      </c>
      <c r="O116" t="s">
        <v>32</v>
      </c>
      <c r="P116" t="str">
        <f t="shared" si="3"/>
        <v>High</v>
      </c>
      <c r="Q116" t="str">
        <f t="shared" si="4"/>
        <v>Profit</v>
      </c>
      <c r="R116" s="9" t="str">
        <f t="shared" si="5"/>
        <v>Aug</v>
      </c>
    </row>
    <row r="117" spans="1:18" x14ac:dyDescent="0.25">
      <c r="A117" s="5" t="s">
        <v>198</v>
      </c>
      <c r="B117" s="16">
        <v>45758</v>
      </c>
      <c r="C117" t="s">
        <v>118</v>
      </c>
      <c r="D117" t="s">
        <v>81</v>
      </c>
      <c r="E117" t="s">
        <v>72</v>
      </c>
      <c r="F117" t="s">
        <v>43</v>
      </c>
      <c r="G117" t="s">
        <v>21</v>
      </c>
      <c r="H117" t="s">
        <v>22</v>
      </c>
      <c r="I117" s="17">
        <v>3</v>
      </c>
      <c r="J117" s="7">
        <v>1500</v>
      </c>
      <c r="K117" s="8">
        <v>0</v>
      </c>
      <c r="L117" s="7">
        <v>4500</v>
      </c>
      <c r="M117" s="7">
        <f>CleanSalesTable[[#This Row],[Sales Amount]]-CleanSalesTable[[#This Row],[Unit Price]]</f>
        <v>3000</v>
      </c>
      <c r="N117" t="s">
        <v>38</v>
      </c>
      <c r="O117" t="s">
        <v>79</v>
      </c>
      <c r="P117" t="str">
        <f t="shared" si="3"/>
        <v>Low</v>
      </c>
      <c r="Q117" t="str">
        <f t="shared" si="4"/>
        <v>Profit</v>
      </c>
      <c r="R117" s="9" t="str">
        <f t="shared" si="5"/>
        <v>Apr</v>
      </c>
    </row>
    <row r="118" spans="1:18" x14ac:dyDescent="0.25">
      <c r="A118" s="5" t="s">
        <v>199</v>
      </c>
      <c r="B118" s="16">
        <v>45712</v>
      </c>
      <c r="C118" t="s">
        <v>34</v>
      </c>
      <c r="D118" t="s">
        <v>104</v>
      </c>
      <c r="E118" t="s">
        <v>19</v>
      </c>
      <c r="F118" t="s">
        <v>20</v>
      </c>
      <c r="G118" t="s">
        <v>21</v>
      </c>
      <c r="H118" t="s">
        <v>22</v>
      </c>
      <c r="I118" s="17">
        <v>2</v>
      </c>
      <c r="J118" s="7">
        <v>1500</v>
      </c>
      <c r="K118" s="8">
        <v>0.1</v>
      </c>
      <c r="L118" s="7">
        <v>2700</v>
      </c>
      <c r="M118" s="7">
        <f>CleanSalesTable[[#This Row],[Sales Amount]]-CleanSalesTable[[#This Row],[Unit Price]]</f>
        <v>1200</v>
      </c>
      <c r="N118" t="s">
        <v>50</v>
      </c>
      <c r="O118" t="s">
        <v>51</v>
      </c>
      <c r="P118" t="str">
        <f t="shared" si="3"/>
        <v>Low</v>
      </c>
      <c r="Q118" t="str">
        <f t="shared" si="4"/>
        <v>Profit</v>
      </c>
      <c r="R118" s="9" t="str">
        <f t="shared" si="5"/>
        <v>Feb</v>
      </c>
    </row>
    <row r="119" spans="1:18" x14ac:dyDescent="0.25">
      <c r="A119" s="5" t="s">
        <v>200</v>
      </c>
      <c r="B119" s="16">
        <v>46008</v>
      </c>
      <c r="C119" t="s">
        <v>46</v>
      </c>
      <c r="D119" t="s">
        <v>76</v>
      </c>
      <c r="E119" t="s">
        <v>42</v>
      </c>
      <c r="F119" t="s">
        <v>43</v>
      </c>
      <c r="G119" t="s">
        <v>21</v>
      </c>
      <c r="H119" t="s">
        <v>82</v>
      </c>
      <c r="I119" s="17">
        <v>2</v>
      </c>
      <c r="J119" s="7">
        <v>900</v>
      </c>
      <c r="K119" s="8">
        <v>0.05</v>
      </c>
      <c r="L119" s="7">
        <v>1710</v>
      </c>
      <c r="M119" s="7">
        <f>CleanSalesTable[[#This Row],[Sales Amount]]-CleanSalesTable[[#This Row],[Unit Price]]</f>
        <v>810</v>
      </c>
      <c r="N119" t="s">
        <v>73</v>
      </c>
      <c r="O119" t="s">
        <v>59</v>
      </c>
      <c r="P119" t="str">
        <f t="shared" si="3"/>
        <v>Low</v>
      </c>
      <c r="Q119" t="str">
        <f t="shared" si="4"/>
        <v>Profit</v>
      </c>
      <c r="R119" s="9" t="str">
        <f t="shared" si="5"/>
        <v>Dec</v>
      </c>
    </row>
    <row r="120" spans="1:18" x14ac:dyDescent="0.25">
      <c r="A120" s="5" t="s">
        <v>201</v>
      </c>
      <c r="B120" s="16">
        <v>45830</v>
      </c>
      <c r="C120" t="s">
        <v>70</v>
      </c>
      <c r="D120" t="s">
        <v>67</v>
      </c>
      <c r="E120" t="s">
        <v>36</v>
      </c>
      <c r="F120" t="s">
        <v>29</v>
      </c>
      <c r="G120" t="s">
        <v>21</v>
      </c>
      <c r="H120" t="s">
        <v>22</v>
      </c>
      <c r="I120" s="17">
        <v>4</v>
      </c>
      <c r="J120" s="7">
        <v>1500</v>
      </c>
      <c r="K120" s="8">
        <v>0.1</v>
      </c>
      <c r="L120" s="7">
        <v>5400</v>
      </c>
      <c r="M120" s="7">
        <f>CleanSalesTable[[#This Row],[Sales Amount]]-CleanSalesTable[[#This Row],[Unit Price]]</f>
        <v>3900</v>
      </c>
      <c r="N120" t="s">
        <v>50</v>
      </c>
      <c r="O120" t="s">
        <v>97</v>
      </c>
      <c r="P120" t="str">
        <f t="shared" si="3"/>
        <v>Low</v>
      </c>
      <c r="Q120" t="str">
        <f t="shared" si="4"/>
        <v>Profit</v>
      </c>
      <c r="R120" s="9" t="str">
        <f t="shared" si="5"/>
        <v>Jun</v>
      </c>
    </row>
    <row r="121" spans="1:18" x14ac:dyDescent="0.25">
      <c r="A121" s="5" t="s">
        <v>202</v>
      </c>
      <c r="B121" s="16">
        <v>45824</v>
      </c>
      <c r="C121" t="s">
        <v>61</v>
      </c>
      <c r="D121" t="s">
        <v>76</v>
      </c>
      <c r="E121" t="s">
        <v>42</v>
      </c>
      <c r="F121" t="s">
        <v>43</v>
      </c>
      <c r="G121" t="s">
        <v>21</v>
      </c>
      <c r="H121" t="s">
        <v>22</v>
      </c>
      <c r="I121" s="17">
        <v>2</v>
      </c>
      <c r="J121" s="7">
        <v>1500</v>
      </c>
      <c r="K121" s="8">
        <v>0.1</v>
      </c>
      <c r="L121" s="7">
        <v>2700</v>
      </c>
      <c r="M121" s="7">
        <f>CleanSalesTable[[#This Row],[Sales Amount]]-CleanSalesTable[[#This Row],[Unit Price]]</f>
        <v>1200</v>
      </c>
      <c r="N121" t="s">
        <v>73</v>
      </c>
      <c r="O121" t="s">
        <v>39</v>
      </c>
      <c r="P121" t="str">
        <f t="shared" si="3"/>
        <v>Low</v>
      </c>
      <c r="Q121" t="str">
        <f t="shared" si="4"/>
        <v>Profit</v>
      </c>
      <c r="R121" s="9" t="str">
        <f t="shared" si="5"/>
        <v>Jun</v>
      </c>
    </row>
    <row r="122" spans="1:18" x14ac:dyDescent="0.25">
      <c r="A122" s="5" t="s">
        <v>203</v>
      </c>
      <c r="B122" s="16">
        <v>45737</v>
      </c>
      <c r="C122" t="s">
        <v>118</v>
      </c>
      <c r="D122" t="s">
        <v>76</v>
      </c>
      <c r="E122" t="s">
        <v>42</v>
      </c>
      <c r="F122" t="s">
        <v>43</v>
      </c>
      <c r="G122" t="s">
        <v>77</v>
      </c>
      <c r="H122" t="s">
        <v>78</v>
      </c>
      <c r="I122" s="17">
        <v>1</v>
      </c>
      <c r="J122" s="7">
        <v>21000</v>
      </c>
      <c r="K122" s="8">
        <v>0</v>
      </c>
      <c r="L122" s="7">
        <v>21000</v>
      </c>
      <c r="M122" s="7">
        <f>CleanSalesTable[[#This Row],[Sales Amount]]-CleanSalesTable[[#This Row],[Unit Price]]</f>
        <v>0</v>
      </c>
      <c r="N122" t="s">
        <v>58</v>
      </c>
      <c r="O122" t="s">
        <v>74</v>
      </c>
      <c r="P122" t="str">
        <f t="shared" si="3"/>
        <v>Low</v>
      </c>
      <c r="Q122" t="str">
        <f t="shared" si="4"/>
        <v>Loss</v>
      </c>
      <c r="R122" s="9" t="str">
        <f t="shared" si="5"/>
        <v>Mar</v>
      </c>
    </row>
    <row r="123" spans="1:18" x14ac:dyDescent="0.25">
      <c r="A123" s="5" t="s">
        <v>204</v>
      </c>
      <c r="B123" s="16">
        <v>45767</v>
      </c>
      <c r="C123" t="s">
        <v>84</v>
      </c>
      <c r="D123" t="s">
        <v>81</v>
      </c>
      <c r="E123" t="s">
        <v>72</v>
      </c>
      <c r="F123" t="s">
        <v>43</v>
      </c>
      <c r="G123" t="s">
        <v>48</v>
      </c>
      <c r="H123" t="s">
        <v>49</v>
      </c>
      <c r="I123" s="17">
        <v>2</v>
      </c>
      <c r="J123" s="7">
        <v>13500</v>
      </c>
      <c r="K123" s="8">
        <v>0.1</v>
      </c>
      <c r="L123" s="7">
        <v>24300</v>
      </c>
      <c r="M123" s="7">
        <f>CleanSalesTable[[#This Row],[Sales Amount]]-CleanSalesTable[[#This Row],[Unit Price]]</f>
        <v>10800</v>
      </c>
      <c r="N123" t="s">
        <v>73</v>
      </c>
      <c r="O123" t="s">
        <v>97</v>
      </c>
      <c r="P123" t="str">
        <f t="shared" si="3"/>
        <v>Low</v>
      </c>
      <c r="Q123" t="str">
        <f t="shared" si="4"/>
        <v>Profit</v>
      </c>
      <c r="R123" s="9" t="str">
        <f t="shared" si="5"/>
        <v>Apr</v>
      </c>
    </row>
    <row r="124" spans="1:18" x14ac:dyDescent="0.25">
      <c r="A124" s="5" t="s">
        <v>205</v>
      </c>
      <c r="B124" s="16">
        <v>45798</v>
      </c>
      <c r="C124" t="s">
        <v>26</v>
      </c>
      <c r="D124" t="s">
        <v>138</v>
      </c>
      <c r="E124" t="s">
        <v>28</v>
      </c>
      <c r="F124" t="s">
        <v>29</v>
      </c>
      <c r="G124" t="s">
        <v>21</v>
      </c>
      <c r="H124" t="s">
        <v>22</v>
      </c>
      <c r="I124" s="17">
        <v>2</v>
      </c>
      <c r="J124" s="7">
        <v>1500</v>
      </c>
      <c r="K124" s="8">
        <v>0</v>
      </c>
      <c r="L124" s="7">
        <v>3000</v>
      </c>
      <c r="M124" s="7">
        <f>CleanSalesTable[[#This Row],[Sales Amount]]-CleanSalesTable[[#This Row],[Unit Price]]</f>
        <v>1500</v>
      </c>
      <c r="N124" t="s">
        <v>73</v>
      </c>
      <c r="O124" t="s">
        <v>79</v>
      </c>
      <c r="P124" t="str">
        <f t="shared" si="3"/>
        <v>Low</v>
      </c>
      <c r="Q124" t="str">
        <f t="shared" si="4"/>
        <v>Profit</v>
      </c>
      <c r="R124" s="9" t="str">
        <f t="shared" si="5"/>
        <v>May</v>
      </c>
    </row>
    <row r="125" spans="1:18" x14ac:dyDescent="0.25">
      <c r="A125" s="5" t="s">
        <v>206</v>
      </c>
      <c r="B125" s="16">
        <v>45966</v>
      </c>
      <c r="C125" t="s">
        <v>17</v>
      </c>
      <c r="D125" t="s">
        <v>104</v>
      </c>
      <c r="E125" t="s">
        <v>19</v>
      </c>
      <c r="F125" t="s">
        <v>20</v>
      </c>
      <c r="G125" t="s">
        <v>30</v>
      </c>
      <c r="H125" t="s">
        <v>37</v>
      </c>
      <c r="I125" s="17">
        <v>1</v>
      </c>
      <c r="J125" s="7">
        <v>2800</v>
      </c>
      <c r="K125" s="8">
        <v>0</v>
      </c>
      <c r="L125" s="7">
        <v>2800</v>
      </c>
      <c r="M125" s="7">
        <f>CleanSalesTable[[#This Row],[Sales Amount]]-CleanSalesTable[[#This Row],[Unit Price]]</f>
        <v>0</v>
      </c>
      <c r="N125" t="s">
        <v>23</v>
      </c>
      <c r="O125" t="s">
        <v>79</v>
      </c>
      <c r="P125" t="str">
        <f t="shared" si="3"/>
        <v>Low</v>
      </c>
      <c r="Q125" t="str">
        <f t="shared" si="4"/>
        <v>Loss</v>
      </c>
      <c r="R125" s="9" t="str">
        <f t="shared" si="5"/>
        <v>Nov</v>
      </c>
    </row>
    <row r="126" spans="1:18" x14ac:dyDescent="0.25">
      <c r="A126" s="5" t="s">
        <v>207</v>
      </c>
      <c r="B126" s="16">
        <v>45798</v>
      </c>
      <c r="C126" t="s">
        <v>17</v>
      </c>
      <c r="D126" t="s">
        <v>18</v>
      </c>
      <c r="E126" t="s">
        <v>19</v>
      </c>
      <c r="F126" t="s">
        <v>20</v>
      </c>
      <c r="G126" t="s">
        <v>48</v>
      </c>
      <c r="H126" t="s">
        <v>49</v>
      </c>
      <c r="I126" s="17">
        <v>4</v>
      </c>
      <c r="J126" s="7">
        <v>13500</v>
      </c>
      <c r="K126" s="8">
        <v>0.15</v>
      </c>
      <c r="L126" s="7">
        <v>45900</v>
      </c>
      <c r="M126" s="7">
        <f>CleanSalesTable[[#This Row],[Sales Amount]]-CleanSalesTable[[#This Row],[Unit Price]]</f>
        <v>32400</v>
      </c>
      <c r="N126" t="s">
        <v>23</v>
      </c>
      <c r="O126" t="s">
        <v>24</v>
      </c>
      <c r="P126" t="str">
        <f t="shared" si="3"/>
        <v>Medium</v>
      </c>
      <c r="Q126" t="str">
        <f t="shared" si="4"/>
        <v>Profit</v>
      </c>
      <c r="R126" s="9" t="str">
        <f t="shared" si="5"/>
        <v>May</v>
      </c>
    </row>
    <row r="127" spans="1:18" x14ac:dyDescent="0.25">
      <c r="A127" s="5" t="s">
        <v>208</v>
      </c>
      <c r="B127" s="16">
        <v>45844</v>
      </c>
      <c r="C127" t="s">
        <v>118</v>
      </c>
      <c r="D127" t="s">
        <v>104</v>
      </c>
      <c r="E127" t="s">
        <v>19</v>
      </c>
      <c r="F127" t="s">
        <v>20</v>
      </c>
      <c r="G127" t="s">
        <v>30</v>
      </c>
      <c r="H127" t="s">
        <v>57</v>
      </c>
      <c r="I127" s="17">
        <v>1</v>
      </c>
      <c r="J127" s="7">
        <v>4500</v>
      </c>
      <c r="K127" s="8">
        <v>0.1</v>
      </c>
      <c r="L127" s="7">
        <v>4050</v>
      </c>
      <c r="M127" s="7">
        <f>CleanSalesTable[[#This Row],[Sales Amount]]-CleanSalesTable[[#This Row],[Unit Price]]</f>
        <v>-450</v>
      </c>
      <c r="N127" t="s">
        <v>38</v>
      </c>
      <c r="O127" t="s">
        <v>74</v>
      </c>
      <c r="P127" t="str">
        <f t="shared" si="3"/>
        <v>Low</v>
      </c>
      <c r="Q127" t="str">
        <f t="shared" si="4"/>
        <v>Loss</v>
      </c>
      <c r="R127" s="9" t="str">
        <f t="shared" si="5"/>
        <v>Jul</v>
      </c>
    </row>
    <row r="128" spans="1:18" x14ac:dyDescent="0.25">
      <c r="A128" s="5" t="s">
        <v>209</v>
      </c>
      <c r="B128" s="16">
        <v>45768</v>
      </c>
      <c r="C128" t="s">
        <v>84</v>
      </c>
      <c r="D128" t="s">
        <v>86</v>
      </c>
      <c r="E128" t="s">
        <v>87</v>
      </c>
      <c r="F128" t="s">
        <v>20</v>
      </c>
      <c r="G128" t="s">
        <v>54</v>
      </c>
      <c r="H128" t="s">
        <v>68</v>
      </c>
      <c r="I128" s="17">
        <v>3</v>
      </c>
      <c r="J128" s="7">
        <v>52000</v>
      </c>
      <c r="K128" s="8">
        <v>0.05</v>
      </c>
      <c r="L128" s="7">
        <v>148200</v>
      </c>
      <c r="M128" s="7">
        <f>CleanSalesTable[[#This Row],[Sales Amount]]-CleanSalesTable[[#This Row],[Unit Price]]</f>
        <v>96200</v>
      </c>
      <c r="N128" t="s">
        <v>38</v>
      </c>
      <c r="O128" t="s">
        <v>59</v>
      </c>
      <c r="P128" t="str">
        <f t="shared" si="3"/>
        <v>High</v>
      </c>
      <c r="Q128" t="str">
        <f t="shared" si="4"/>
        <v>Profit</v>
      </c>
      <c r="R128" s="9" t="str">
        <f t="shared" si="5"/>
        <v>Apr</v>
      </c>
    </row>
    <row r="129" spans="1:18" x14ac:dyDescent="0.25">
      <c r="A129" s="5" t="s">
        <v>210</v>
      </c>
      <c r="B129" s="16">
        <v>45828</v>
      </c>
      <c r="C129" t="s">
        <v>94</v>
      </c>
      <c r="D129" t="s">
        <v>86</v>
      </c>
      <c r="E129" t="s">
        <v>87</v>
      </c>
      <c r="F129" t="s">
        <v>20</v>
      </c>
      <c r="G129" t="s">
        <v>30</v>
      </c>
      <c r="H129" t="s">
        <v>31</v>
      </c>
      <c r="I129" s="17">
        <v>4</v>
      </c>
      <c r="J129" s="7">
        <v>3200</v>
      </c>
      <c r="K129" s="8">
        <v>0.05</v>
      </c>
      <c r="L129" s="7">
        <v>12160</v>
      </c>
      <c r="M129" s="7">
        <f>CleanSalesTable[[#This Row],[Sales Amount]]-CleanSalesTable[[#This Row],[Unit Price]]</f>
        <v>8960</v>
      </c>
      <c r="N129" t="s">
        <v>58</v>
      </c>
      <c r="O129" t="s">
        <v>32</v>
      </c>
      <c r="P129" t="str">
        <f t="shared" si="3"/>
        <v>Low</v>
      </c>
      <c r="Q129" t="str">
        <f t="shared" si="4"/>
        <v>Profit</v>
      </c>
      <c r="R129" s="9" t="str">
        <f t="shared" si="5"/>
        <v>Jun</v>
      </c>
    </row>
    <row r="130" spans="1:18" x14ac:dyDescent="0.25">
      <c r="A130" s="5" t="s">
        <v>211</v>
      </c>
      <c r="B130" s="16">
        <v>45847</v>
      </c>
      <c r="C130" t="s">
        <v>118</v>
      </c>
      <c r="D130" t="s">
        <v>95</v>
      </c>
      <c r="E130" t="s">
        <v>87</v>
      </c>
      <c r="F130" t="s">
        <v>20</v>
      </c>
      <c r="G130" t="s">
        <v>21</v>
      </c>
      <c r="H130" t="s">
        <v>44</v>
      </c>
      <c r="I130" s="17">
        <v>4</v>
      </c>
      <c r="J130" s="7">
        <v>1200</v>
      </c>
      <c r="K130" s="8">
        <v>0.05</v>
      </c>
      <c r="L130" s="7">
        <v>4560</v>
      </c>
      <c r="M130" s="7">
        <f>CleanSalesTable[[#This Row],[Sales Amount]]-CleanSalesTable[[#This Row],[Unit Price]]</f>
        <v>3360</v>
      </c>
      <c r="N130" t="s">
        <v>23</v>
      </c>
      <c r="O130" t="s">
        <v>59</v>
      </c>
      <c r="P130" t="str">
        <f t="shared" si="3"/>
        <v>Low</v>
      </c>
      <c r="Q130" t="str">
        <f t="shared" si="4"/>
        <v>Profit</v>
      </c>
      <c r="R130" s="9" t="str">
        <f t="shared" si="5"/>
        <v>Jul</v>
      </c>
    </row>
    <row r="131" spans="1:18" x14ac:dyDescent="0.25">
      <c r="A131" s="5" t="s">
        <v>212</v>
      </c>
      <c r="B131" s="16">
        <v>45725</v>
      </c>
      <c r="C131" t="s">
        <v>61</v>
      </c>
      <c r="D131" t="s">
        <v>27</v>
      </c>
      <c r="E131" t="s">
        <v>28</v>
      </c>
      <c r="F131" t="s">
        <v>29</v>
      </c>
      <c r="G131" t="s">
        <v>30</v>
      </c>
      <c r="H131" t="s">
        <v>31</v>
      </c>
      <c r="I131" s="17">
        <v>3</v>
      </c>
      <c r="J131" s="7">
        <v>3200</v>
      </c>
      <c r="K131" s="8">
        <v>0.1</v>
      </c>
      <c r="L131" s="7">
        <v>8640</v>
      </c>
      <c r="M131" s="7">
        <f>CleanSalesTable[[#This Row],[Sales Amount]]-CleanSalesTable[[#This Row],[Unit Price]]</f>
        <v>5440</v>
      </c>
      <c r="N131" t="s">
        <v>50</v>
      </c>
      <c r="O131" t="s">
        <v>51</v>
      </c>
      <c r="P131" t="str">
        <f t="shared" si="3"/>
        <v>Low</v>
      </c>
      <c r="Q131" t="str">
        <f t="shared" si="4"/>
        <v>Profit</v>
      </c>
      <c r="R131" s="9" t="str">
        <f t="shared" si="5"/>
        <v>Mar</v>
      </c>
    </row>
    <row r="132" spans="1:18" x14ac:dyDescent="0.25">
      <c r="A132" s="5" t="s">
        <v>213</v>
      </c>
      <c r="B132" s="16">
        <v>45978</v>
      </c>
      <c r="C132" t="s">
        <v>17</v>
      </c>
      <c r="D132" t="s">
        <v>138</v>
      </c>
      <c r="E132" t="s">
        <v>28</v>
      </c>
      <c r="F132" t="s">
        <v>29</v>
      </c>
      <c r="G132" t="s">
        <v>30</v>
      </c>
      <c r="H132" t="s">
        <v>57</v>
      </c>
      <c r="I132" s="17">
        <v>2</v>
      </c>
      <c r="J132" s="7">
        <v>4500</v>
      </c>
      <c r="K132" s="8">
        <v>0.1</v>
      </c>
      <c r="L132" s="7">
        <v>8100</v>
      </c>
      <c r="M132" s="7">
        <f>CleanSalesTable[[#This Row],[Sales Amount]]-CleanSalesTable[[#This Row],[Unit Price]]</f>
        <v>3600</v>
      </c>
      <c r="N132" t="s">
        <v>38</v>
      </c>
      <c r="O132" t="s">
        <v>74</v>
      </c>
      <c r="P132" t="str">
        <f t="shared" si="3"/>
        <v>Low</v>
      </c>
      <c r="Q132" t="str">
        <f t="shared" si="4"/>
        <v>Profit</v>
      </c>
      <c r="R132" s="9" t="str">
        <f t="shared" si="5"/>
        <v>Nov</v>
      </c>
    </row>
    <row r="133" spans="1:18" x14ac:dyDescent="0.25">
      <c r="A133" s="5" t="s">
        <v>214</v>
      </c>
      <c r="B133" s="16">
        <v>45814</v>
      </c>
      <c r="C133" t="s">
        <v>46</v>
      </c>
      <c r="D133" t="s">
        <v>102</v>
      </c>
      <c r="E133" t="s">
        <v>36</v>
      </c>
      <c r="F133" t="s">
        <v>29</v>
      </c>
      <c r="G133" t="s">
        <v>48</v>
      </c>
      <c r="H133" t="s">
        <v>49</v>
      </c>
      <c r="I133" s="17">
        <v>1</v>
      </c>
      <c r="J133" s="7">
        <v>13500</v>
      </c>
      <c r="K133" s="8">
        <v>0.15</v>
      </c>
      <c r="L133" s="7">
        <v>11475</v>
      </c>
      <c r="M133" s="7">
        <f>CleanSalesTable[[#This Row],[Sales Amount]]-CleanSalesTable[[#This Row],[Unit Price]]</f>
        <v>-2025</v>
      </c>
      <c r="N133" t="s">
        <v>38</v>
      </c>
      <c r="O133" t="s">
        <v>51</v>
      </c>
      <c r="P133" t="str">
        <f t="shared" ref="P133:P196" si="6">IF(L133&gt;=100000,"High",IF(L133&gt;=30000,"Medium","Low"))</f>
        <v>Low</v>
      </c>
      <c r="Q133" t="str">
        <f t="shared" ref="Q133:Q196" si="7">IF(M133&gt;0,"Profit","Loss")</f>
        <v>Loss</v>
      </c>
      <c r="R133" s="9" t="str">
        <f t="shared" ref="R133:R196" si="8">TEXT(B133,"mmm")</f>
        <v>Jun</v>
      </c>
    </row>
    <row r="134" spans="1:18" x14ac:dyDescent="0.25">
      <c r="A134" s="5" t="s">
        <v>215</v>
      </c>
      <c r="B134" s="16">
        <v>45998</v>
      </c>
      <c r="C134" t="s">
        <v>53</v>
      </c>
      <c r="D134" t="s">
        <v>89</v>
      </c>
      <c r="E134" t="s">
        <v>87</v>
      </c>
      <c r="F134" t="s">
        <v>20</v>
      </c>
      <c r="G134" t="s">
        <v>21</v>
      </c>
      <c r="H134" t="s">
        <v>44</v>
      </c>
      <c r="I134" s="17">
        <v>2</v>
      </c>
      <c r="J134" s="7">
        <v>1200</v>
      </c>
      <c r="K134" s="8">
        <v>0.15</v>
      </c>
      <c r="L134" s="7">
        <v>2040</v>
      </c>
      <c r="M134" s="7">
        <f>CleanSalesTable[[#This Row],[Sales Amount]]-CleanSalesTable[[#This Row],[Unit Price]]</f>
        <v>840</v>
      </c>
      <c r="N134" t="s">
        <v>50</v>
      </c>
      <c r="O134" t="s">
        <v>32</v>
      </c>
      <c r="P134" t="str">
        <f t="shared" si="6"/>
        <v>Low</v>
      </c>
      <c r="Q134" t="str">
        <f t="shared" si="7"/>
        <v>Profit</v>
      </c>
      <c r="R134" s="9" t="str">
        <f t="shared" si="8"/>
        <v>Dec</v>
      </c>
    </row>
    <row r="135" spans="1:18" x14ac:dyDescent="0.25">
      <c r="A135" s="5" t="s">
        <v>216</v>
      </c>
      <c r="B135" s="16">
        <v>45701</v>
      </c>
      <c r="C135" t="s">
        <v>17</v>
      </c>
      <c r="D135" t="s">
        <v>76</v>
      </c>
      <c r="E135" t="s">
        <v>42</v>
      </c>
      <c r="F135" t="s">
        <v>43</v>
      </c>
      <c r="G135" t="s">
        <v>54</v>
      </c>
      <c r="H135" t="s">
        <v>63</v>
      </c>
      <c r="I135" s="17">
        <v>4</v>
      </c>
      <c r="J135" s="7">
        <v>61000</v>
      </c>
      <c r="K135" s="8">
        <v>0</v>
      </c>
      <c r="L135" s="7">
        <v>244000</v>
      </c>
      <c r="M135" s="7">
        <f>CleanSalesTable[[#This Row],[Sales Amount]]-CleanSalesTable[[#This Row],[Unit Price]]</f>
        <v>183000</v>
      </c>
      <c r="N135" t="s">
        <v>50</v>
      </c>
      <c r="O135" t="s">
        <v>74</v>
      </c>
      <c r="P135" t="str">
        <f t="shared" si="6"/>
        <v>High</v>
      </c>
      <c r="Q135" t="str">
        <f t="shared" si="7"/>
        <v>Profit</v>
      </c>
      <c r="R135" s="9" t="str">
        <f t="shared" si="8"/>
        <v>Feb</v>
      </c>
    </row>
    <row r="136" spans="1:18" x14ac:dyDescent="0.25">
      <c r="A136" s="5" t="s">
        <v>217</v>
      </c>
      <c r="B136" s="16">
        <v>45929</v>
      </c>
      <c r="C136" t="s">
        <v>53</v>
      </c>
      <c r="D136" t="s">
        <v>81</v>
      </c>
      <c r="E136" t="s">
        <v>72</v>
      </c>
      <c r="F136" t="s">
        <v>43</v>
      </c>
      <c r="G136" t="s">
        <v>21</v>
      </c>
      <c r="H136" t="s">
        <v>82</v>
      </c>
      <c r="I136" s="17">
        <v>3</v>
      </c>
      <c r="J136" s="7">
        <v>900</v>
      </c>
      <c r="K136" s="8">
        <v>0.1</v>
      </c>
      <c r="L136" s="7">
        <v>2430</v>
      </c>
      <c r="M136" s="7">
        <f>CleanSalesTable[[#This Row],[Sales Amount]]-CleanSalesTable[[#This Row],[Unit Price]]</f>
        <v>1530</v>
      </c>
      <c r="N136" t="s">
        <v>38</v>
      </c>
      <c r="O136" t="s">
        <v>79</v>
      </c>
      <c r="P136" t="str">
        <f t="shared" si="6"/>
        <v>Low</v>
      </c>
      <c r="Q136" t="str">
        <f t="shared" si="7"/>
        <v>Profit</v>
      </c>
      <c r="R136" s="9" t="str">
        <f t="shared" si="8"/>
        <v>Sep</v>
      </c>
    </row>
    <row r="137" spans="1:18" x14ac:dyDescent="0.25">
      <c r="A137" s="5" t="s">
        <v>218</v>
      </c>
      <c r="B137" s="16">
        <v>45701</v>
      </c>
      <c r="C137" t="s">
        <v>94</v>
      </c>
      <c r="D137" t="s">
        <v>104</v>
      </c>
      <c r="E137" t="s">
        <v>19</v>
      </c>
      <c r="F137" t="s">
        <v>20</v>
      </c>
      <c r="G137" t="s">
        <v>21</v>
      </c>
      <c r="H137" t="s">
        <v>44</v>
      </c>
      <c r="I137" s="17">
        <v>3</v>
      </c>
      <c r="J137" s="7">
        <v>1200</v>
      </c>
      <c r="K137" s="8">
        <v>0</v>
      </c>
      <c r="L137" s="7">
        <v>3600</v>
      </c>
      <c r="M137" s="7">
        <f>CleanSalesTable[[#This Row],[Sales Amount]]-CleanSalesTable[[#This Row],[Unit Price]]</f>
        <v>2400</v>
      </c>
      <c r="N137" t="s">
        <v>50</v>
      </c>
      <c r="O137" t="s">
        <v>51</v>
      </c>
      <c r="P137" t="str">
        <f t="shared" si="6"/>
        <v>Low</v>
      </c>
      <c r="Q137" t="str">
        <f t="shared" si="7"/>
        <v>Profit</v>
      </c>
      <c r="R137" s="9" t="str">
        <f t="shared" si="8"/>
        <v>Feb</v>
      </c>
    </row>
    <row r="138" spans="1:18" x14ac:dyDescent="0.25">
      <c r="A138" s="5" t="s">
        <v>219</v>
      </c>
      <c r="B138" s="16">
        <v>45944</v>
      </c>
      <c r="C138" t="s">
        <v>61</v>
      </c>
      <c r="D138" t="s">
        <v>27</v>
      </c>
      <c r="E138" t="s">
        <v>28</v>
      </c>
      <c r="F138" t="s">
        <v>29</v>
      </c>
      <c r="G138" t="s">
        <v>48</v>
      </c>
      <c r="H138" t="s">
        <v>105</v>
      </c>
      <c r="I138" s="17">
        <v>2</v>
      </c>
      <c r="J138" s="7">
        <v>21000</v>
      </c>
      <c r="K138" s="8">
        <v>0.15</v>
      </c>
      <c r="L138" s="7">
        <v>35700</v>
      </c>
      <c r="M138" s="7">
        <f>CleanSalesTable[[#This Row],[Sales Amount]]-CleanSalesTable[[#This Row],[Unit Price]]</f>
        <v>14700</v>
      </c>
      <c r="N138" t="s">
        <v>58</v>
      </c>
      <c r="O138" t="s">
        <v>51</v>
      </c>
      <c r="P138" t="str">
        <f t="shared" si="6"/>
        <v>Medium</v>
      </c>
      <c r="Q138" t="str">
        <f t="shared" si="7"/>
        <v>Profit</v>
      </c>
      <c r="R138" s="9" t="str">
        <f t="shared" si="8"/>
        <v>Oct</v>
      </c>
    </row>
    <row r="139" spans="1:18" x14ac:dyDescent="0.25">
      <c r="A139" s="5" t="s">
        <v>220</v>
      </c>
      <c r="B139" s="16">
        <v>45983</v>
      </c>
      <c r="C139" t="s">
        <v>118</v>
      </c>
      <c r="D139" t="s">
        <v>71</v>
      </c>
      <c r="E139" t="s">
        <v>72</v>
      </c>
      <c r="F139" t="s">
        <v>43</v>
      </c>
      <c r="G139" t="s">
        <v>77</v>
      </c>
      <c r="H139" t="s">
        <v>111</v>
      </c>
      <c r="I139" s="17">
        <v>1</v>
      </c>
      <c r="J139" s="7">
        <v>29000</v>
      </c>
      <c r="K139" s="8">
        <v>0.1</v>
      </c>
      <c r="L139" s="7">
        <v>26100</v>
      </c>
      <c r="M139" s="7">
        <f>CleanSalesTable[[#This Row],[Sales Amount]]-CleanSalesTable[[#This Row],[Unit Price]]</f>
        <v>-2900</v>
      </c>
      <c r="N139" t="s">
        <v>23</v>
      </c>
      <c r="O139" t="s">
        <v>74</v>
      </c>
      <c r="P139" t="str">
        <f t="shared" si="6"/>
        <v>Low</v>
      </c>
      <c r="Q139" t="str">
        <f t="shared" si="7"/>
        <v>Loss</v>
      </c>
      <c r="R139" s="9" t="str">
        <f t="shared" si="8"/>
        <v>Nov</v>
      </c>
    </row>
    <row r="140" spans="1:18" x14ac:dyDescent="0.25">
      <c r="A140" s="5" t="s">
        <v>221</v>
      </c>
      <c r="B140" s="16">
        <v>45683</v>
      </c>
      <c r="C140" t="s">
        <v>94</v>
      </c>
      <c r="D140" t="s">
        <v>41</v>
      </c>
      <c r="E140" t="s">
        <v>42</v>
      </c>
      <c r="F140" t="s">
        <v>43</v>
      </c>
      <c r="G140" t="s">
        <v>21</v>
      </c>
      <c r="H140" t="s">
        <v>22</v>
      </c>
      <c r="I140" s="17">
        <v>2</v>
      </c>
      <c r="J140" s="7">
        <v>1500</v>
      </c>
      <c r="K140" s="8">
        <v>0.15</v>
      </c>
      <c r="L140" s="7">
        <v>2550</v>
      </c>
      <c r="M140" s="7">
        <f>CleanSalesTable[[#This Row],[Sales Amount]]-CleanSalesTable[[#This Row],[Unit Price]]</f>
        <v>1050</v>
      </c>
      <c r="N140" t="s">
        <v>58</v>
      </c>
      <c r="O140" t="s">
        <v>24</v>
      </c>
      <c r="P140" t="str">
        <f t="shared" si="6"/>
        <v>Low</v>
      </c>
      <c r="Q140" t="str">
        <f t="shared" si="7"/>
        <v>Profit</v>
      </c>
      <c r="R140" s="9" t="str">
        <f t="shared" si="8"/>
        <v>Jan</v>
      </c>
    </row>
    <row r="141" spans="1:18" x14ac:dyDescent="0.25">
      <c r="A141" s="5" t="s">
        <v>222</v>
      </c>
      <c r="B141" s="16">
        <v>45897</v>
      </c>
      <c r="C141" t="s">
        <v>46</v>
      </c>
      <c r="D141" t="s">
        <v>35</v>
      </c>
      <c r="E141" t="s">
        <v>36</v>
      </c>
      <c r="F141" t="s">
        <v>29</v>
      </c>
      <c r="G141" t="s">
        <v>54</v>
      </c>
      <c r="H141" t="s">
        <v>55</v>
      </c>
      <c r="I141" s="17">
        <v>2</v>
      </c>
      <c r="J141" s="7">
        <v>58000</v>
      </c>
      <c r="K141" s="8">
        <v>0.1</v>
      </c>
      <c r="L141" s="7">
        <v>104400</v>
      </c>
      <c r="M141" s="7">
        <f>CleanSalesTable[[#This Row],[Sales Amount]]-CleanSalesTable[[#This Row],[Unit Price]]</f>
        <v>46400</v>
      </c>
      <c r="N141" t="s">
        <v>58</v>
      </c>
      <c r="O141" t="s">
        <v>74</v>
      </c>
      <c r="P141" t="str">
        <f t="shared" si="6"/>
        <v>High</v>
      </c>
      <c r="Q141" t="str">
        <f t="shared" si="7"/>
        <v>Profit</v>
      </c>
      <c r="R141" s="9" t="str">
        <f t="shared" si="8"/>
        <v>Aug</v>
      </c>
    </row>
    <row r="142" spans="1:18" x14ac:dyDescent="0.25">
      <c r="A142" s="5" t="s">
        <v>223</v>
      </c>
      <c r="B142" s="16">
        <v>45687</v>
      </c>
      <c r="C142" t="s">
        <v>26</v>
      </c>
      <c r="D142" t="s">
        <v>35</v>
      </c>
      <c r="E142" t="s">
        <v>36</v>
      </c>
      <c r="F142" t="s">
        <v>29</v>
      </c>
      <c r="G142" t="s">
        <v>30</v>
      </c>
      <c r="H142" t="s">
        <v>57</v>
      </c>
      <c r="I142" s="17">
        <v>3</v>
      </c>
      <c r="J142" s="7">
        <v>4500</v>
      </c>
      <c r="K142" s="8">
        <v>0.05</v>
      </c>
      <c r="L142" s="7">
        <v>12825</v>
      </c>
      <c r="M142" s="7">
        <f>CleanSalesTable[[#This Row],[Sales Amount]]-CleanSalesTable[[#This Row],[Unit Price]]</f>
        <v>8325</v>
      </c>
      <c r="N142" t="s">
        <v>38</v>
      </c>
      <c r="O142" t="s">
        <v>97</v>
      </c>
      <c r="P142" t="str">
        <f t="shared" si="6"/>
        <v>Low</v>
      </c>
      <c r="Q142" t="str">
        <f t="shared" si="7"/>
        <v>Profit</v>
      </c>
      <c r="R142" s="9" t="str">
        <f t="shared" si="8"/>
        <v>Jan</v>
      </c>
    </row>
    <row r="143" spans="1:18" x14ac:dyDescent="0.25">
      <c r="A143" s="5" t="s">
        <v>224</v>
      </c>
      <c r="B143" s="16">
        <v>45957</v>
      </c>
      <c r="C143" t="s">
        <v>61</v>
      </c>
      <c r="D143" t="s">
        <v>102</v>
      </c>
      <c r="E143" t="s">
        <v>36</v>
      </c>
      <c r="F143" t="s">
        <v>29</v>
      </c>
      <c r="G143" t="s">
        <v>77</v>
      </c>
      <c r="H143" t="s">
        <v>99</v>
      </c>
      <c r="I143" s="17">
        <v>2</v>
      </c>
      <c r="J143" s="7">
        <v>24000</v>
      </c>
      <c r="K143" s="8">
        <v>0.05</v>
      </c>
      <c r="L143" s="7">
        <v>45600</v>
      </c>
      <c r="M143" s="7">
        <f>CleanSalesTable[[#This Row],[Sales Amount]]-CleanSalesTable[[#This Row],[Unit Price]]</f>
        <v>21600</v>
      </c>
      <c r="N143" t="s">
        <v>23</v>
      </c>
      <c r="O143" t="s">
        <v>51</v>
      </c>
      <c r="P143" t="str">
        <f t="shared" si="6"/>
        <v>Medium</v>
      </c>
      <c r="Q143" t="str">
        <f t="shared" si="7"/>
        <v>Profit</v>
      </c>
      <c r="R143" s="9" t="str">
        <f t="shared" si="8"/>
        <v>Oct</v>
      </c>
    </row>
    <row r="144" spans="1:18" x14ac:dyDescent="0.25">
      <c r="A144" s="5" t="s">
        <v>225</v>
      </c>
      <c r="B144" s="16">
        <v>45664</v>
      </c>
      <c r="C144" t="s">
        <v>46</v>
      </c>
      <c r="D144" t="s">
        <v>41</v>
      </c>
      <c r="E144" t="s">
        <v>42</v>
      </c>
      <c r="F144" t="s">
        <v>43</v>
      </c>
      <c r="G144" t="s">
        <v>30</v>
      </c>
      <c r="H144" t="s">
        <v>31</v>
      </c>
      <c r="I144" s="17">
        <v>3</v>
      </c>
      <c r="J144" s="7">
        <v>3200</v>
      </c>
      <c r="K144" s="8">
        <v>0.15</v>
      </c>
      <c r="L144" s="7">
        <v>8160</v>
      </c>
      <c r="M144" s="7">
        <f>CleanSalesTable[[#This Row],[Sales Amount]]-CleanSalesTable[[#This Row],[Unit Price]]</f>
        <v>4960</v>
      </c>
      <c r="N144" t="s">
        <v>38</v>
      </c>
      <c r="O144" t="s">
        <v>79</v>
      </c>
      <c r="P144" t="str">
        <f t="shared" si="6"/>
        <v>Low</v>
      </c>
      <c r="Q144" t="str">
        <f t="shared" si="7"/>
        <v>Profit</v>
      </c>
      <c r="R144" s="9" t="str">
        <f t="shared" si="8"/>
        <v>Jan</v>
      </c>
    </row>
    <row r="145" spans="1:18" x14ac:dyDescent="0.25">
      <c r="A145" s="5" t="s">
        <v>226</v>
      </c>
      <c r="B145" s="16">
        <v>45979</v>
      </c>
      <c r="C145" t="s">
        <v>34</v>
      </c>
      <c r="D145" t="s">
        <v>95</v>
      </c>
      <c r="E145" t="s">
        <v>87</v>
      </c>
      <c r="F145" t="s">
        <v>20</v>
      </c>
      <c r="G145" t="s">
        <v>48</v>
      </c>
      <c r="H145" t="s">
        <v>90</v>
      </c>
      <c r="I145" s="17">
        <v>4</v>
      </c>
      <c r="J145" s="7">
        <v>14500</v>
      </c>
      <c r="K145" s="8">
        <v>0.15</v>
      </c>
      <c r="L145" s="7">
        <v>49300</v>
      </c>
      <c r="M145" s="7">
        <f>CleanSalesTable[[#This Row],[Sales Amount]]-CleanSalesTable[[#This Row],[Unit Price]]</f>
        <v>34800</v>
      </c>
      <c r="N145" t="s">
        <v>50</v>
      </c>
      <c r="O145" t="s">
        <v>39</v>
      </c>
      <c r="P145" t="str">
        <f t="shared" si="6"/>
        <v>Medium</v>
      </c>
      <c r="Q145" t="str">
        <f t="shared" si="7"/>
        <v>Profit</v>
      </c>
      <c r="R145" s="9" t="str">
        <f t="shared" si="8"/>
        <v>Nov</v>
      </c>
    </row>
    <row r="146" spans="1:18" x14ac:dyDescent="0.25">
      <c r="A146" s="5" t="s">
        <v>227</v>
      </c>
      <c r="B146" s="16">
        <v>45824</v>
      </c>
      <c r="C146" t="s">
        <v>46</v>
      </c>
      <c r="D146" t="s">
        <v>35</v>
      </c>
      <c r="E146" t="s">
        <v>36</v>
      </c>
      <c r="F146" t="s">
        <v>29</v>
      </c>
      <c r="G146" t="s">
        <v>30</v>
      </c>
      <c r="H146" t="s">
        <v>37</v>
      </c>
      <c r="I146" s="17">
        <v>4</v>
      </c>
      <c r="J146" s="7">
        <v>2800</v>
      </c>
      <c r="K146" s="8">
        <v>0.15</v>
      </c>
      <c r="L146" s="7">
        <v>9520</v>
      </c>
      <c r="M146" s="7">
        <f>CleanSalesTable[[#This Row],[Sales Amount]]-CleanSalesTable[[#This Row],[Unit Price]]</f>
        <v>6720</v>
      </c>
      <c r="N146" t="s">
        <v>23</v>
      </c>
      <c r="O146" t="s">
        <v>32</v>
      </c>
      <c r="P146" t="str">
        <f t="shared" si="6"/>
        <v>Low</v>
      </c>
      <c r="Q146" t="str">
        <f t="shared" si="7"/>
        <v>Profit</v>
      </c>
      <c r="R146" s="9" t="str">
        <f t="shared" si="8"/>
        <v>Jun</v>
      </c>
    </row>
    <row r="147" spans="1:18" x14ac:dyDescent="0.25">
      <c r="A147" s="5" t="s">
        <v>228</v>
      </c>
      <c r="B147" s="16">
        <v>45846</v>
      </c>
      <c r="C147" t="s">
        <v>46</v>
      </c>
      <c r="D147" t="s">
        <v>76</v>
      </c>
      <c r="E147" t="s">
        <v>42</v>
      </c>
      <c r="F147" t="s">
        <v>43</v>
      </c>
      <c r="G147" t="s">
        <v>30</v>
      </c>
      <c r="H147" t="s">
        <v>37</v>
      </c>
      <c r="I147" s="17">
        <v>3</v>
      </c>
      <c r="J147" s="7">
        <v>2800</v>
      </c>
      <c r="K147" s="8">
        <v>0</v>
      </c>
      <c r="L147" s="7">
        <v>8400</v>
      </c>
      <c r="M147" s="7">
        <f>CleanSalesTable[[#This Row],[Sales Amount]]-CleanSalesTable[[#This Row],[Unit Price]]</f>
        <v>5600</v>
      </c>
      <c r="N147" t="s">
        <v>38</v>
      </c>
      <c r="O147" t="s">
        <v>32</v>
      </c>
      <c r="P147" t="str">
        <f t="shared" si="6"/>
        <v>Low</v>
      </c>
      <c r="Q147" t="str">
        <f t="shared" si="7"/>
        <v>Profit</v>
      </c>
      <c r="R147" s="9" t="str">
        <f t="shared" si="8"/>
        <v>Jul</v>
      </c>
    </row>
    <row r="148" spans="1:18" x14ac:dyDescent="0.25">
      <c r="A148" s="5" t="s">
        <v>229</v>
      </c>
      <c r="B148" s="16">
        <v>45975</v>
      </c>
      <c r="C148" t="s">
        <v>84</v>
      </c>
      <c r="D148" t="s">
        <v>138</v>
      </c>
      <c r="E148" t="s">
        <v>28</v>
      </c>
      <c r="F148" t="s">
        <v>29</v>
      </c>
      <c r="G148" t="s">
        <v>54</v>
      </c>
      <c r="H148" t="s">
        <v>63</v>
      </c>
      <c r="I148" s="17">
        <v>2</v>
      </c>
      <c r="J148" s="7">
        <v>61000</v>
      </c>
      <c r="K148" s="8">
        <v>0.05</v>
      </c>
      <c r="L148" s="7">
        <v>115900</v>
      </c>
      <c r="M148" s="7">
        <f>CleanSalesTable[[#This Row],[Sales Amount]]-CleanSalesTable[[#This Row],[Unit Price]]</f>
        <v>54900</v>
      </c>
      <c r="N148" t="s">
        <v>58</v>
      </c>
      <c r="O148" t="s">
        <v>97</v>
      </c>
      <c r="P148" t="str">
        <f t="shared" si="6"/>
        <v>High</v>
      </c>
      <c r="Q148" t="str">
        <f t="shared" si="7"/>
        <v>Profit</v>
      </c>
      <c r="R148" s="9" t="str">
        <f t="shared" si="8"/>
        <v>Nov</v>
      </c>
    </row>
    <row r="149" spans="1:18" x14ac:dyDescent="0.25">
      <c r="A149" s="5" t="s">
        <v>230</v>
      </c>
      <c r="B149" s="16">
        <v>45718</v>
      </c>
      <c r="C149" t="s">
        <v>26</v>
      </c>
      <c r="D149" t="s">
        <v>89</v>
      </c>
      <c r="E149" t="s">
        <v>87</v>
      </c>
      <c r="F149" t="s">
        <v>20</v>
      </c>
      <c r="G149" t="s">
        <v>30</v>
      </c>
      <c r="H149" t="s">
        <v>37</v>
      </c>
      <c r="I149" s="17">
        <v>3</v>
      </c>
      <c r="J149" s="7">
        <v>2800</v>
      </c>
      <c r="K149" s="8">
        <v>0.1</v>
      </c>
      <c r="L149" s="7">
        <v>7560</v>
      </c>
      <c r="M149" s="7">
        <f>CleanSalesTable[[#This Row],[Sales Amount]]-CleanSalesTable[[#This Row],[Unit Price]]</f>
        <v>4760</v>
      </c>
      <c r="N149" t="s">
        <v>38</v>
      </c>
      <c r="O149" t="s">
        <v>97</v>
      </c>
      <c r="P149" t="str">
        <f t="shared" si="6"/>
        <v>Low</v>
      </c>
      <c r="Q149" t="str">
        <f t="shared" si="7"/>
        <v>Profit</v>
      </c>
      <c r="R149" s="9" t="str">
        <f t="shared" si="8"/>
        <v>Mar</v>
      </c>
    </row>
    <row r="150" spans="1:18" x14ac:dyDescent="0.25">
      <c r="A150" s="5" t="s">
        <v>231</v>
      </c>
      <c r="B150" s="16">
        <v>45822</v>
      </c>
      <c r="C150" t="s">
        <v>53</v>
      </c>
      <c r="D150" t="s">
        <v>102</v>
      </c>
      <c r="E150" t="s">
        <v>36</v>
      </c>
      <c r="F150" t="s">
        <v>29</v>
      </c>
      <c r="G150" t="s">
        <v>77</v>
      </c>
      <c r="H150" t="s">
        <v>111</v>
      </c>
      <c r="I150" s="17">
        <v>1</v>
      </c>
      <c r="J150" s="7">
        <v>29000</v>
      </c>
      <c r="K150" s="8">
        <v>0</v>
      </c>
      <c r="L150" s="7">
        <v>29000</v>
      </c>
      <c r="M150" s="7">
        <f>CleanSalesTable[[#This Row],[Sales Amount]]-CleanSalesTable[[#This Row],[Unit Price]]</f>
        <v>0</v>
      </c>
      <c r="N150" t="s">
        <v>50</v>
      </c>
      <c r="O150" t="s">
        <v>59</v>
      </c>
      <c r="P150" t="str">
        <f t="shared" si="6"/>
        <v>Low</v>
      </c>
      <c r="Q150" t="str">
        <f t="shared" si="7"/>
        <v>Loss</v>
      </c>
      <c r="R150" s="9" t="str">
        <f t="shared" si="8"/>
        <v>Jun</v>
      </c>
    </row>
    <row r="151" spans="1:18" x14ac:dyDescent="0.25">
      <c r="A151" s="5" t="s">
        <v>232</v>
      </c>
      <c r="B151" s="16">
        <v>45664</v>
      </c>
      <c r="C151" t="s">
        <v>84</v>
      </c>
      <c r="D151" t="s">
        <v>18</v>
      </c>
      <c r="E151" t="s">
        <v>19</v>
      </c>
      <c r="F151" t="s">
        <v>20</v>
      </c>
      <c r="G151" t="s">
        <v>30</v>
      </c>
      <c r="H151" t="s">
        <v>31</v>
      </c>
      <c r="I151" s="17">
        <v>2</v>
      </c>
      <c r="J151" s="7">
        <v>3200</v>
      </c>
      <c r="K151" s="8">
        <v>0.05</v>
      </c>
      <c r="L151" s="7">
        <v>6080</v>
      </c>
      <c r="M151" s="7">
        <f>CleanSalesTable[[#This Row],[Sales Amount]]-CleanSalesTable[[#This Row],[Unit Price]]</f>
        <v>2880</v>
      </c>
      <c r="N151" t="s">
        <v>23</v>
      </c>
      <c r="O151" t="s">
        <v>97</v>
      </c>
      <c r="P151" t="str">
        <f t="shared" si="6"/>
        <v>Low</v>
      </c>
      <c r="Q151" t="str">
        <f t="shared" si="7"/>
        <v>Profit</v>
      </c>
      <c r="R151" s="9" t="str">
        <f t="shared" si="8"/>
        <v>Jan</v>
      </c>
    </row>
    <row r="152" spans="1:18" x14ac:dyDescent="0.25">
      <c r="A152" s="5" t="s">
        <v>233</v>
      </c>
      <c r="B152" s="16">
        <v>45762</v>
      </c>
      <c r="C152" t="s">
        <v>70</v>
      </c>
      <c r="D152" t="s">
        <v>76</v>
      </c>
      <c r="E152" t="s">
        <v>42</v>
      </c>
      <c r="F152" t="s">
        <v>43</v>
      </c>
      <c r="G152" t="s">
        <v>21</v>
      </c>
      <c r="H152" t="s">
        <v>44</v>
      </c>
      <c r="I152" s="17">
        <v>1</v>
      </c>
      <c r="J152" s="7">
        <v>1200</v>
      </c>
      <c r="K152" s="8">
        <v>0.15</v>
      </c>
      <c r="L152" s="7">
        <v>1020</v>
      </c>
      <c r="M152" s="7">
        <f>CleanSalesTable[[#This Row],[Sales Amount]]-CleanSalesTable[[#This Row],[Unit Price]]</f>
        <v>-180</v>
      </c>
      <c r="N152" t="s">
        <v>73</v>
      </c>
      <c r="O152" t="s">
        <v>39</v>
      </c>
      <c r="P152" t="str">
        <f t="shared" si="6"/>
        <v>Low</v>
      </c>
      <c r="Q152" t="str">
        <f t="shared" si="7"/>
        <v>Loss</v>
      </c>
      <c r="R152" s="9" t="str">
        <f t="shared" si="8"/>
        <v>Apr</v>
      </c>
    </row>
    <row r="153" spans="1:18" x14ac:dyDescent="0.25">
      <c r="A153" s="5" t="s">
        <v>234</v>
      </c>
      <c r="B153" s="16">
        <v>45921</v>
      </c>
      <c r="C153" t="s">
        <v>61</v>
      </c>
      <c r="D153" t="s">
        <v>35</v>
      </c>
      <c r="E153" t="s">
        <v>36</v>
      </c>
      <c r="F153" t="s">
        <v>29</v>
      </c>
      <c r="G153" t="s">
        <v>30</v>
      </c>
      <c r="H153" t="s">
        <v>57</v>
      </c>
      <c r="I153" s="17">
        <v>4</v>
      </c>
      <c r="J153" s="7">
        <v>4500</v>
      </c>
      <c r="K153" s="8">
        <v>0.15</v>
      </c>
      <c r="L153" s="7">
        <v>15300</v>
      </c>
      <c r="M153" s="7">
        <f>CleanSalesTable[[#This Row],[Sales Amount]]-CleanSalesTable[[#This Row],[Unit Price]]</f>
        <v>10800</v>
      </c>
      <c r="N153" t="s">
        <v>73</v>
      </c>
      <c r="O153" t="s">
        <v>32</v>
      </c>
      <c r="P153" t="str">
        <f t="shared" si="6"/>
        <v>Low</v>
      </c>
      <c r="Q153" t="str">
        <f t="shared" si="7"/>
        <v>Profit</v>
      </c>
      <c r="R153" s="9" t="str">
        <f t="shared" si="8"/>
        <v>Sep</v>
      </c>
    </row>
    <row r="154" spans="1:18" x14ac:dyDescent="0.25">
      <c r="A154" s="5" t="s">
        <v>235</v>
      </c>
      <c r="B154" s="16">
        <v>45909</v>
      </c>
      <c r="C154" t="s">
        <v>70</v>
      </c>
      <c r="D154" t="s">
        <v>41</v>
      </c>
      <c r="E154" t="s">
        <v>42</v>
      </c>
      <c r="F154" t="s">
        <v>43</v>
      </c>
      <c r="G154" t="s">
        <v>54</v>
      </c>
      <c r="H154" t="s">
        <v>63</v>
      </c>
      <c r="I154" s="17">
        <v>3</v>
      </c>
      <c r="J154" s="7">
        <v>61000</v>
      </c>
      <c r="K154" s="8">
        <v>0.1</v>
      </c>
      <c r="L154" s="7">
        <v>164700</v>
      </c>
      <c r="M154" s="7">
        <f>CleanSalesTable[[#This Row],[Sales Amount]]-CleanSalesTable[[#This Row],[Unit Price]]</f>
        <v>103700</v>
      </c>
      <c r="N154" t="s">
        <v>23</v>
      </c>
      <c r="O154" t="s">
        <v>74</v>
      </c>
      <c r="P154" t="str">
        <f t="shared" si="6"/>
        <v>High</v>
      </c>
      <c r="Q154" t="str">
        <f t="shared" si="7"/>
        <v>Profit</v>
      </c>
      <c r="R154" s="9" t="str">
        <f t="shared" si="8"/>
        <v>Sep</v>
      </c>
    </row>
    <row r="155" spans="1:18" x14ac:dyDescent="0.25">
      <c r="A155" s="5" t="s">
        <v>236</v>
      </c>
      <c r="B155" s="16">
        <v>45882</v>
      </c>
      <c r="C155" t="s">
        <v>70</v>
      </c>
      <c r="D155" t="s">
        <v>102</v>
      </c>
      <c r="E155" t="s">
        <v>36</v>
      </c>
      <c r="F155" t="s">
        <v>29</v>
      </c>
      <c r="G155" t="s">
        <v>54</v>
      </c>
      <c r="H155" t="s">
        <v>68</v>
      </c>
      <c r="I155" s="17">
        <v>1</v>
      </c>
      <c r="J155" s="7">
        <v>52000</v>
      </c>
      <c r="K155" s="8">
        <v>0.05</v>
      </c>
      <c r="L155" s="7">
        <v>49400</v>
      </c>
      <c r="M155" s="7">
        <f>CleanSalesTable[[#This Row],[Sales Amount]]-CleanSalesTable[[#This Row],[Unit Price]]</f>
        <v>-2600</v>
      </c>
      <c r="N155" t="s">
        <v>23</v>
      </c>
      <c r="O155" t="s">
        <v>32</v>
      </c>
      <c r="P155" t="str">
        <f t="shared" si="6"/>
        <v>Medium</v>
      </c>
      <c r="Q155" t="str">
        <f t="shared" si="7"/>
        <v>Loss</v>
      </c>
      <c r="R155" s="9" t="str">
        <f t="shared" si="8"/>
        <v>Aug</v>
      </c>
    </row>
    <row r="156" spans="1:18" x14ac:dyDescent="0.25">
      <c r="A156" s="5" t="s">
        <v>237</v>
      </c>
      <c r="B156" s="16">
        <v>45797</v>
      </c>
      <c r="C156" t="s">
        <v>26</v>
      </c>
      <c r="D156" t="s">
        <v>81</v>
      </c>
      <c r="E156" t="s">
        <v>72</v>
      </c>
      <c r="F156" t="s">
        <v>43</v>
      </c>
      <c r="G156" t="s">
        <v>48</v>
      </c>
      <c r="H156" t="s">
        <v>105</v>
      </c>
      <c r="I156" s="17">
        <v>4</v>
      </c>
      <c r="J156" s="7">
        <v>21000</v>
      </c>
      <c r="K156" s="8">
        <v>0.1</v>
      </c>
      <c r="L156" s="7">
        <v>75600</v>
      </c>
      <c r="M156" s="7">
        <f>CleanSalesTable[[#This Row],[Sales Amount]]-CleanSalesTable[[#This Row],[Unit Price]]</f>
        <v>54600</v>
      </c>
      <c r="N156" t="s">
        <v>58</v>
      </c>
      <c r="O156" t="s">
        <v>39</v>
      </c>
      <c r="P156" t="str">
        <f t="shared" si="6"/>
        <v>Medium</v>
      </c>
      <c r="Q156" t="str">
        <f t="shared" si="7"/>
        <v>Profit</v>
      </c>
      <c r="R156" s="9" t="str">
        <f t="shared" si="8"/>
        <v>May</v>
      </c>
    </row>
    <row r="157" spans="1:18" x14ac:dyDescent="0.25">
      <c r="A157" s="5" t="s">
        <v>238</v>
      </c>
      <c r="B157" s="16">
        <v>45911</v>
      </c>
      <c r="C157" t="s">
        <v>26</v>
      </c>
      <c r="D157" t="s">
        <v>89</v>
      </c>
      <c r="E157" t="s">
        <v>87</v>
      </c>
      <c r="F157" t="s">
        <v>20</v>
      </c>
      <c r="G157" t="s">
        <v>21</v>
      </c>
      <c r="H157" t="s">
        <v>22</v>
      </c>
      <c r="I157" s="17">
        <v>2</v>
      </c>
      <c r="J157" s="7">
        <v>1500</v>
      </c>
      <c r="K157" s="8">
        <v>0.15</v>
      </c>
      <c r="L157" s="7">
        <v>2550</v>
      </c>
      <c r="M157" s="7">
        <f>CleanSalesTable[[#This Row],[Sales Amount]]-CleanSalesTable[[#This Row],[Unit Price]]</f>
        <v>1050</v>
      </c>
      <c r="N157" t="s">
        <v>58</v>
      </c>
      <c r="O157" t="s">
        <v>51</v>
      </c>
      <c r="P157" t="str">
        <f t="shared" si="6"/>
        <v>Low</v>
      </c>
      <c r="Q157" t="str">
        <f t="shared" si="7"/>
        <v>Profit</v>
      </c>
      <c r="R157" s="9" t="str">
        <f t="shared" si="8"/>
        <v>Sep</v>
      </c>
    </row>
    <row r="158" spans="1:18" x14ac:dyDescent="0.25">
      <c r="A158" s="5" t="s">
        <v>239</v>
      </c>
      <c r="B158" s="16">
        <v>45834</v>
      </c>
      <c r="C158" t="s">
        <v>94</v>
      </c>
      <c r="D158" t="s">
        <v>102</v>
      </c>
      <c r="E158" t="s">
        <v>36</v>
      </c>
      <c r="F158" t="s">
        <v>29</v>
      </c>
      <c r="G158" t="s">
        <v>48</v>
      </c>
      <c r="H158" t="s">
        <v>49</v>
      </c>
      <c r="I158" s="17">
        <v>2</v>
      </c>
      <c r="J158" s="7">
        <v>13500</v>
      </c>
      <c r="K158" s="8">
        <v>0.15</v>
      </c>
      <c r="L158" s="7">
        <v>22950</v>
      </c>
      <c r="M158" s="7">
        <f>CleanSalesTable[[#This Row],[Sales Amount]]-CleanSalesTable[[#This Row],[Unit Price]]</f>
        <v>9450</v>
      </c>
      <c r="N158" t="s">
        <v>23</v>
      </c>
      <c r="O158" t="s">
        <v>32</v>
      </c>
      <c r="P158" t="str">
        <f t="shared" si="6"/>
        <v>Low</v>
      </c>
      <c r="Q158" t="str">
        <f t="shared" si="7"/>
        <v>Profit</v>
      </c>
      <c r="R158" s="9" t="str">
        <f t="shared" si="8"/>
        <v>Jun</v>
      </c>
    </row>
    <row r="159" spans="1:18" x14ac:dyDescent="0.25">
      <c r="A159" s="5" t="s">
        <v>240</v>
      </c>
      <c r="B159" s="16">
        <v>45738</v>
      </c>
      <c r="C159" t="s">
        <v>53</v>
      </c>
      <c r="D159" t="s">
        <v>47</v>
      </c>
      <c r="E159" t="s">
        <v>19</v>
      </c>
      <c r="F159" t="s">
        <v>20</v>
      </c>
      <c r="G159" t="s">
        <v>30</v>
      </c>
      <c r="H159" t="s">
        <v>37</v>
      </c>
      <c r="I159" s="17">
        <v>2</v>
      </c>
      <c r="J159" s="7">
        <v>2800</v>
      </c>
      <c r="K159" s="8">
        <v>0.1</v>
      </c>
      <c r="L159" s="7">
        <v>5040</v>
      </c>
      <c r="M159" s="7">
        <f>CleanSalesTable[[#This Row],[Sales Amount]]-CleanSalesTable[[#This Row],[Unit Price]]</f>
        <v>2240</v>
      </c>
      <c r="N159" t="s">
        <v>50</v>
      </c>
      <c r="O159" t="s">
        <v>97</v>
      </c>
      <c r="P159" t="str">
        <f t="shared" si="6"/>
        <v>Low</v>
      </c>
      <c r="Q159" t="str">
        <f t="shared" si="7"/>
        <v>Profit</v>
      </c>
      <c r="R159" s="9" t="str">
        <f t="shared" si="8"/>
        <v>Mar</v>
      </c>
    </row>
    <row r="160" spans="1:18" x14ac:dyDescent="0.25">
      <c r="A160" s="5" t="s">
        <v>241</v>
      </c>
      <c r="B160" s="16">
        <v>45940</v>
      </c>
      <c r="C160" t="s">
        <v>53</v>
      </c>
      <c r="D160" t="s">
        <v>81</v>
      </c>
      <c r="E160" t="s">
        <v>72</v>
      </c>
      <c r="F160" t="s">
        <v>43</v>
      </c>
      <c r="G160" t="s">
        <v>30</v>
      </c>
      <c r="H160" t="s">
        <v>31</v>
      </c>
      <c r="I160" s="17">
        <v>3</v>
      </c>
      <c r="J160" s="7">
        <v>3200</v>
      </c>
      <c r="K160" s="8">
        <v>0.1</v>
      </c>
      <c r="L160" s="7">
        <v>8640</v>
      </c>
      <c r="M160" s="7">
        <f>CleanSalesTable[[#This Row],[Sales Amount]]-CleanSalesTable[[#This Row],[Unit Price]]</f>
        <v>5440</v>
      </c>
      <c r="N160" t="s">
        <v>38</v>
      </c>
      <c r="O160" t="s">
        <v>39</v>
      </c>
      <c r="P160" t="str">
        <f t="shared" si="6"/>
        <v>Low</v>
      </c>
      <c r="Q160" t="str">
        <f t="shared" si="7"/>
        <v>Profit</v>
      </c>
      <c r="R160" s="9" t="str">
        <f t="shared" si="8"/>
        <v>Oct</v>
      </c>
    </row>
    <row r="161" spans="1:18" x14ac:dyDescent="0.25">
      <c r="A161" s="5" t="s">
        <v>242</v>
      </c>
      <c r="B161" s="16">
        <v>45658</v>
      </c>
      <c r="C161" t="s">
        <v>17</v>
      </c>
      <c r="D161" t="s">
        <v>18</v>
      </c>
      <c r="E161" t="s">
        <v>19</v>
      </c>
      <c r="F161" t="s">
        <v>20</v>
      </c>
      <c r="G161" t="s">
        <v>54</v>
      </c>
      <c r="H161" t="s">
        <v>63</v>
      </c>
      <c r="I161" s="17">
        <v>2</v>
      </c>
      <c r="J161" s="7">
        <v>61000</v>
      </c>
      <c r="K161" s="8">
        <v>0</v>
      </c>
      <c r="L161" s="7">
        <v>122000</v>
      </c>
      <c r="M161" s="7">
        <f>CleanSalesTable[[#This Row],[Sales Amount]]-CleanSalesTable[[#This Row],[Unit Price]]</f>
        <v>61000</v>
      </c>
      <c r="N161" t="s">
        <v>23</v>
      </c>
      <c r="O161" t="s">
        <v>97</v>
      </c>
      <c r="P161" t="str">
        <f t="shared" si="6"/>
        <v>High</v>
      </c>
      <c r="Q161" t="str">
        <f t="shared" si="7"/>
        <v>Profit</v>
      </c>
      <c r="R161" s="9" t="str">
        <f t="shared" si="8"/>
        <v>Jan</v>
      </c>
    </row>
    <row r="162" spans="1:18" x14ac:dyDescent="0.25">
      <c r="A162" s="5" t="s">
        <v>243</v>
      </c>
      <c r="B162" s="16">
        <v>45977</v>
      </c>
      <c r="C162" t="s">
        <v>26</v>
      </c>
      <c r="D162" t="s">
        <v>110</v>
      </c>
      <c r="E162" t="s">
        <v>72</v>
      </c>
      <c r="F162" t="s">
        <v>43</v>
      </c>
      <c r="G162" t="s">
        <v>77</v>
      </c>
      <c r="H162" t="s">
        <v>111</v>
      </c>
      <c r="I162" s="17">
        <v>4</v>
      </c>
      <c r="J162" s="7">
        <v>29000</v>
      </c>
      <c r="K162" s="8">
        <v>0.1</v>
      </c>
      <c r="L162" s="7">
        <v>104400</v>
      </c>
      <c r="M162" s="7">
        <f>CleanSalesTable[[#This Row],[Sales Amount]]-CleanSalesTable[[#This Row],[Unit Price]]</f>
        <v>75400</v>
      </c>
      <c r="N162" t="s">
        <v>38</v>
      </c>
      <c r="O162" t="s">
        <v>97</v>
      </c>
      <c r="P162" t="str">
        <f t="shared" si="6"/>
        <v>High</v>
      </c>
      <c r="Q162" t="str">
        <f t="shared" si="7"/>
        <v>Profit</v>
      </c>
      <c r="R162" s="9" t="str">
        <f t="shared" si="8"/>
        <v>Nov</v>
      </c>
    </row>
    <row r="163" spans="1:18" x14ac:dyDescent="0.25">
      <c r="A163" s="5" t="s">
        <v>244</v>
      </c>
      <c r="B163" s="16">
        <v>45963</v>
      </c>
      <c r="C163" t="s">
        <v>34</v>
      </c>
      <c r="D163" t="s">
        <v>92</v>
      </c>
      <c r="E163" t="s">
        <v>42</v>
      </c>
      <c r="F163" t="s">
        <v>43</v>
      </c>
      <c r="G163" t="s">
        <v>30</v>
      </c>
      <c r="H163" t="s">
        <v>57</v>
      </c>
      <c r="I163" s="17">
        <v>3</v>
      </c>
      <c r="J163" s="7">
        <v>4500</v>
      </c>
      <c r="K163" s="8">
        <v>0</v>
      </c>
      <c r="L163" s="7">
        <v>13500</v>
      </c>
      <c r="M163" s="7">
        <f>CleanSalesTable[[#This Row],[Sales Amount]]-CleanSalesTable[[#This Row],[Unit Price]]</f>
        <v>9000</v>
      </c>
      <c r="N163" t="s">
        <v>50</v>
      </c>
      <c r="O163" t="s">
        <v>79</v>
      </c>
      <c r="P163" t="str">
        <f t="shared" si="6"/>
        <v>Low</v>
      </c>
      <c r="Q163" t="str">
        <f t="shared" si="7"/>
        <v>Profit</v>
      </c>
      <c r="R163" s="9" t="str">
        <f t="shared" si="8"/>
        <v>Nov</v>
      </c>
    </row>
    <row r="164" spans="1:18" x14ac:dyDescent="0.25">
      <c r="A164" s="5" t="s">
        <v>245</v>
      </c>
      <c r="B164" s="16">
        <v>45889</v>
      </c>
      <c r="C164" t="s">
        <v>84</v>
      </c>
      <c r="D164" t="s">
        <v>47</v>
      </c>
      <c r="E164" t="s">
        <v>19</v>
      </c>
      <c r="F164" t="s">
        <v>20</v>
      </c>
      <c r="G164" t="s">
        <v>48</v>
      </c>
      <c r="H164" t="s">
        <v>90</v>
      </c>
      <c r="I164" s="17">
        <v>2</v>
      </c>
      <c r="J164" s="7">
        <v>14500</v>
      </c>
      <c r="K164" s="8">
        <v>0</v>
      </c>
      <c r="L164" s="7">
        <v>29000</v>
      </c>
      <c r="M164" s="7">
        <f>CleanSalesTable[[#This Row],[Sales Amount]]-CleanSalesTable[[#This Row],[Unit Price]]</f>
        <v>14500</v>
      </c>
      <c r="N164" t="s">
        <v>50</v>
      </c>
      <c r="O164" t="s">
        <v>39</v>
      </c>
      <c r="P164" t="str">
        <f t="shared" si="6"/>
        <v>Low</v>
      </c>
      <c r="Q164" t="str">
        <f t="shared" si="7"/>
        <v>Profit</v>
      </c>
      <c r="R164" s="9" t="str">
        <f t="shared" si="8"/>
        <v>Aug</v>
      </c>
    </row>
    <row r="165" spans="1:18" x14ac:dyDescent="0.25">
      <c r="A165" s="5" t="s">
        <v>246</v>
      </c>
      <c r="B165" s="16">
        <v>45708</v>
      </c>
      <c r="C165" t="s">
        <v>26</v>
      </c>
      <c r="D165" t="s">
        <v>35</v>
      </c>
      <c r="E165" t="s">
        <v>36</v>
      </c>
      <c r="F165" t="s">
        <v>29</v>
      </c>
      <c r="G165" t="s">
        <v>77</v>
      </c>
      <c r="H165" t="s">
        <v>78</v>
      </c>
      <c r="I165" s="17">
        <v>2</v>
      </c>
      <c r="J165" s="7">
        <v>21000</v>
      </c>
      <c r="K165" s="8">
        <v>0.1</v>
      </c>
      <c r="L165" s="7">
        <v>37800</v>
      </c>
      <c r="M165" s="7">
        <f>CleanSalesTable[[#This Row],[Sales Amount]]-CleanSalesTable[[#This Row],[Unit Price]]</f>
        <v>16800</v>
      </c>
      <c r="N165" t="s">
        <v>58</v>
      </c>
      <c r="O165" t="s">
        <v>24</v>
      </c>
      <c r="P165" t="str">
        <f t="shared" si="6"/>
        <v>Medium</v>
      </c>
      <c r="Q165" t="str">
        <f t="shared" si="7"/>
        <v>Profit</v>
      </c>
      <c r="R165" s="9" t="str">
        <f t="shared" si="8"/>
        <v>Feb</v>
      </c>
    </row>
    <row r="166" spans="1:18" x14ac:dyDescent="0.25">
      <c r="A166" s="5" t="s">
        <v>247</v>
      </c>
      <c r="B166" s="16">
        <v>45847</v>
      </c>
      <c r="C166" t="s">
        <v>84</v>
      </c>
      <c r="D166" t="s">
        <v>35</v>
      </c>
      <c r="E166" t="s">
        <v>36</v>
      </c>
      <c r="F166" t="s">
        <v>29</v>
      </c>
      <c r="G166" t="s">
        <v>48</v>
      </c>
      <c r="H166" t="s">
        <v>90</v>
      </c>
      <c r="I166" s="17">
        <v>1</v>
      </c>
      <c r="J166" s="7">
        <v>14500</v>
      </c>
      <c r="K166" s="8">
        <v>0.15</v>
      </c>
      <c r="L166" s="7">
        <v>12325</v>
      </c>
      <c r="M166" s="7">
        <f>CleanSalesTable[[#This Row],[Sales Amount]]-CleanSalesTable[[#This Row],[Unit Price]]</f>
        <v>-2175</v>
      </c>
      <c r="N166" t="s">
        <v>73</v>
      </c>
      <c r="O166" t="s">
        <v>97</v>
      </c>
      <c r="P166" t="str">
        <f t="shared" si="6"/>
        <v>Low</v>
      </c>
      <c r="Q166" t="str">
        <f t="shared" si="7"/>
        <v>Loss</v>
      </c>
      <c r="R166" s="9" t="str">
        <f t="shared" si="8"/>
        <v>Jul</v>
      </c>
    </row>
    <row r="167" spans="1:18" x14ac:dyDescent="0.25">
      <c r="A167" s="5" t="s">
        <v>248</v>
      </c>
      <c r="B167" s="16">
        <v>45670</v>
      </c>
      <c r="C167" t="s">
        <v>94</v>
      </c>
      <c r="D167" t="s">
        <v>71</v>
      </c>
      <c r="E167" t="s">
        <v>72</v>
      </c>
      <c r="F167" t="s">
        <v>43</v>
      </c>
      <c r="G167" t="s">
        <v>30</v>
      </c>
      <c r="H167" t="s">
        <v>37</v>
      </c>
      <c r="I167" s="17">
        <v>3</v>
      </c>
      <c r="J167" s="7">
        <v>2800</v>
      </c>
      <c r="K167" s="8">
        <v>0</v>
      </c>
      <c r="L167" s="7">
        <v>8400</v>
      </c>
      <c r="M167" s="7">
        <f>CleanSalesTable[[#This Row],[Sales Amount]]-CleanSalesTable[[#This Row],[Unit Price]]</f>
        <v>5600</v>
      </c>
      <c r="N167" t="s">
        <v>58</v>
      </c>
      <c r="O167" t="s">
        <v>39</v>
      </c>
      <c r="P167" t="str">
        <f t="shared" si="6"/>
        <v>Low</v>
      </c>
      <c r="Q167" t="str">
        <f t="shared" si="7"/>
        <v>Profit</v>
      </c>
      <c r="R167" s="9" t="str">
        <f t="shared" si="8"/>
        <v>Jan</v>
      </c>
    </row>
    <row r="168" spans="1:18" x14ac:dyDescent="0.25">
      <c r="A168" s="5" t="s">
        <v>249</v>
      </c>
      <c r="B168" s="16">
        <v>45833</v>
      </c>
      <c r="C168" t="s">
        <v>53</v>
      </c>
      <c r="D168" t="s">
        <v>110</v>
      </c>
      <c r="E168" t="s">
        <v>72</v>
      </c>
      <c r="F168" t="s">
        <v>43</v>
      </c>
      <c r="G168" t="s">
        <v>30</v>
      </c>
      <c r="H168" t="s">
        <v>31</v>
      </c>
      <c r="I168" s="17">
        <v>1</v>
      </c>
      <c r="J168" s="7">
        <v>3200</v>
      </c>
      <c r="K168" s="8">
        <v>0.1</v>
      </c>
      <c r="L168" s="7">
        <v>2880</v>
      </c>
      <c r="M168" s="7">
        <f>CleanSalesTable[[#This Row],[Sales Amount]]-CleanSalesTable[[#This Row],[Unit Price]]</f>
        <v>-320</v>
      </c>
      <c r="N168" t="s">
        <v>38</v>
      </c>
      <c r="O168" t="s">
        <v>32</v>
      </c>
      <c r="P168" t="str">
        <f t="shared" si="6"/>
        <v>Low</v>
      </c>
      <c r="Q168" t="str">
        <f t="shared" si="7"/>
        <v>Loss</v>
      </c>
      <c r="R168" s="9" t="str">
        <f t="shared" si="8"/>
        <v>Jun</v>
      </c>
    </row>
    <row r="169" spans="1:18" x14ac:dyDescent="0.25">
      <c r="A169" s="5" t="s">
        <v>250</v>
      </c>
      <c r="B169" s="16">
        <v>45698</v>
      </c>
      <c r="C169" t="s">
        <v>118</v>
      </c>
      <c r="D169" t="s">
        <v>89</v>
      </c>
      <c r="E169" t="s">
        <v>87</v>
      </c>
      <c r="F169" t="s">
        <v>20</v>
      </c>
      <c r="G169" t="s">
        <v>77</v>
      </c>
      <c r="H169" t="s">
        <v>111</v>
      </c>
      <c r="I169" s="17">
        <v>1</v>
      </c>
      <c r="J169" s="7">
        <v>29000</v>
      </c>
      <c r="K169" s="8">
        <v>0.05</v>
      </c>
      <c r="L169" s="7">
        <v>27550</v>
      </c>
      <c r="M169" s="7">
        <f>CleanSalesTable[[#This Row],[Sales Amount]]-CleanSalesTable[[#This Row],[Unit Price]]</f>
        <v>-1450</v>
      </c>
      <c r="N169" t="s">
        <v>50</v>
      </c>
      <c r="O169" t="s">
        <v>32</v>
      </c>
      <c r="P169" t="str">
        <f t="shared" si="6"/>
        <v>Low</v>
      </c>
      <c r="Q169" t="str">
        <f t="shared" si="7"/>
        <v>Loss</v>
      </c>
      <c r="R169" s="9" t="str">
        <f t="shared" si="8"/>
        <v>Feb</v>
      </c>
    </row>
    <row r="170" spans="1:18" x14ac:dyDescent="0.25">
      <c r="A170" s="5" t="s">
        <v>251</v>
      </c>
      <c r="B170" s="16">
        <v>45775</v>
      </c>
      <c r="C170" t="s">
        <v>34</v>
      </c>
      <c r="D170" t="s">
        <v>95</v>
      </c>
      <c r="E170" t="s">
        <v>87</v>
      </c>
      <c r="F170" t="s">
        <v>20</v>
      </c>
      <c r="G170" t="s">
        <v>21</v>
      </c>
      <c r="H170" t="s">
        <v>22</v>
      </c>
      <c r="I170" s="17">
        <v>3</v>
      </c>
      <c r="J170" s="7">
        <v>1500</v>
      </c>
      <c r="K170" s="8">
        <v>0.05</v>
      </c>
      <c r="L170" s="7">
        <v>4275</v>
      </c>
      <c r="M170" s="7">
        <f>CleanSalesTable[[#This Row],[Sales Amount]]-CleanSalesTable[[#This Row],[Unit Price]]</f>
        <v>2775</v>
      </c>
      <c r="N170" t="s">
        <v>23</v>
      </c>
      <c r="O170" t="s">
        <v>51</v>
      </c>
      <c r="P170" t="str">
        <f t="shared" si="6"/>
        <v>Low</v>
      </c>
      <c r="Q170" t="str">
        <f t="shared" si="7"/>
        <v>Profit</v>
      </c>
      <c r="R170" s="9" t="str">
        <f t="shared" si="8"/>
        <v>Apr</v>
      </c>
    </row>
    <row r="171" spans="1:18" x14ac:dyDescent="0.25">
      <c r="A171" s="5" t="s">
        <v>252</v>
      </c>
      <c r="B171" s="16">
        <v>45684</v>
      </c>
      <c r="C171" t="s">
        <v>17</v>
      </c>
      <c r="D171" t="s">
        <v>92</v>
      </c>
      <c r="E171" t="s">
        <v>42</v>
      </c>
      <c r="F171" t="s">
        <v>43</v>
      </c>
      <c r="G171" t="s">
        <v>21</v>
      </c>
      <c r="H171" t="s">
        <v>44</v>
      </c>
      <c r="I171" s="17">
        <v>1</v>
      </c>
      <c r="J171" s="7">
        <v>1200</v>
      </c>
      <c r="K171" s="8">
        <v>0.05</v>
      </c>
      <c r="L171" s="7">
        <v>1140</v>
      </c>
      <c r="M171" s="7">
        <f>CleanSalesTable[[#This Row],[Sales Amount]]-CleanSalesTable[[#This Row],[Unit Price]]</f>
        <v>-60</v>
      </c>
      <c r="N171" t="s">
        <v>58</v>
      </c>
      <c r="O171" t="s">
        <v>79</v>
      </c>
      <c r="P171" t="str">
        <f t="shared" si="6"/>
        <v>Low</v>
      </c>
      <c r="Q171" t="str">
        <f t="shared" si="7"/>
        <v>Loss</v>
      </c>
      <c r="R171" s="9" t="str">
        <f t="shared" si="8"/>
        <v>Jan</v>
      </c>
    </row>
    <row r="172" spans="1:18" x14ac:dyDescent="0.25">
      <c r="A172" s="5" t="s">
        <v>253</v>
      </c>
      <c r="B172" s="16">
        <v>45840</v>
      </c>
      <c r="C172" t="s">
        <v>94</v>
      </c>
      <c r="D172" t="s">
        <v>81</v>
      </c>
      <c r="E172" t="s">
        <v>72</v>
      </c>
      <c r="F172" t="s">
        <v>43</v>
      </c>
      <c r="G172" t="s">
        <v>21</v>
      </c>
      <c r="H172" t="s">
        <v>82</v>
      </c>
      <c r="I172" s="17">
        <v>1</v>
      </c>
      <c r="J172" s="7">
        <v>900</v>
      </c>
      <c r="K172" s="8">
        <v>0.15</v>
      </c>
      <c r="L172" s="7">
        <v>765</v>
      </c>
      <c r="M172" s="7">
        <f>CleanSalesTable[[#This Row],[Sales Amount]]-CleanSalesTable[[#This Row],[Unit Price]]</f>
        <v>-135</v>
      </c>
      <c r="N172" t="s">
        <v>58</v>
      </c>
      <c r="O172" t="s">
        <v>97</v>
      </c>
      <c r="P172" t="str">
        <f t="shared" si="6"/>
        <v>Low</v>
      </c>
      <c r="Q172" t="str">
        <f t="shared" si="7"/>
        <v>Loss</v>
      </c>
      <c r="R172" s="9" t="str">
        <f t="shared" si="8"/>
        <v>Jul</v>
      </c>
    </row>
    <row r="173" spans="1:18" x14ac:dyDescent="0.25">
      <c r="A173" s="5" t="s">
        <v>254</v>
      </c>
      <c r="B173" s="16">
        <v>45795</v>
      </c>
      <c r="C173" t="s">
        <v>53</v>
      </c>
      <c r="D173" t="s">
        <v>76</v>
      </c>
      <c r="E173" t="s">
        <v>42</v>
      </c>
      <c r="F173" t="s">
        <v>43</v>
      </c>
      <c r="G173" t="s">
        <v>54</v>
      </c>
      <c r="H173" t="s">
        <v>63</v>
      </c>
      <c r="I173" s="17">
        <v>3</v>
      </c>
      <c r="J173" s="7">
        <v>61000</v>
      </c>
      <c r="K173" s="8">
        <v>0</v>
      </c>
      <c r="L173" s="7">
        <v>183000</v>
      </c>
      <c r="M173" s="7">
        <f>CleanSalesTable[[#This Row],[Sales Amount]]-CleanSalesTable[[#This Row],[Unit Price]]</f>
        <v>122000</v>
      </c>
      <c r="N173" t="s">
        <v>50</v>
      </c>
      <c r="O173" t="s">
        <v>51</v>
      </c>
      <c r="P173" t="str">
        <f t="shared" si="6"/>
        <v>High</v>
      </c>
      <c r="Q173" t="str">
        <f t="shared" si="7"/>
        <v>Profit</v>
      </c>
      <c r="R173" s="9" t="str">
        <f t="shared" si="8"/>
        <v>May</v>
      </c>
    </row>
    <row r="174" spans="1:18" x14ac:dyDescent="0.25">
      <c r="A174" s="5" t="s">
        <v>255</v>
      </c>
      <c r="B174" s="16">
        <v>46006</v>
      </c>
      <c r="C174" t="s">
        <v>61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s="17">
        <v>1</v>
      </c>
      <c r="J174" s="7">
        <v>1500</v>
      </c>
      <c r="K174" s="8">
        <v>0.1</v>
      </c>
      <c r="L174" s="7">
        <v>1350</v>
      </c>
      <c r="M174" s="7">
        <f>CleanSalesTable[[#This Row],[Sales Amount]]-CleanSalesTable[[#This Row],[Unit Price]]</f>
        <v>-150</v>
      </c>
      <c r="N174" t="s">
        <v>50</v>
      </c>
      <c r="O174" t="s">
        <v>59</v>
      </c>
      <c r="P174" t="str">
        <f t="shared" si="6"/>
        <v>Low</v>
      </c>
      <c r="Q174" t="str">
        <f t="shared" si="7"/>
        <v>Loss</v>
      </c>
      <c r="R174" s="9" t="str">
        <f t="shared" si="8"/>
        <v>Dec</v>
      </c>
    </row>
    <row r="175" spans="1:18" x14ac:dyDescent="0.25">
      <c r="A175" s="5" t="s">
        <v>256</v>
      </c>
      <c r="B175" s="16">
        <v>45755</v>
      </c>
      <c r="C175" t="s">
        <v>34</v>
      </c>
      <c r="D175" t="s">
        <v>47</v>
      </c>
      <c r="E175" t="s">
        <v>19</v>
      </c>
      <c r="F175" t="s">
        <v>20</v>
      </c>
      <c r="G175" t="s">
        <v>30</v>
      </c>
      <c r="H175" t="s">
        <v>31</v>
      </c>
      <c r="I175" s="17">
        <v>4</v>
      </c>
      <c r="J175" s="7">
        <v>3200</v>
      </c>
      <c r="K175" s="8">
        <v>0</v>
      </c>
      <c r="L175" s="7">
        <v>12800</v>
      </c>
      <c r="M175" s="7">
        <f>CleanSalesTable[[#This Row],[Sales Amount]]-CleanSalesTable[[#This Row],[Unit Price]]</f>
        <v>9600</v>
      </c>
      <c r="N175" t="s">
        <v>50</v>
      </c>
      <c r="O175" t="s">
        <v>59</v>
      </c>
      <c r="P175" t="str">
        <f t="shared" si="6"/>
        <v>Low</v>
      </c>
      <c r="Q175" t="str">
        <f t="shared" si="7"/>
        <v>Profit</v>
      </c>
      <c r="R175" s="9" t="str">
        <f t="shared" si="8"/>
        <v>Apr</v>
      </c>
    </row>
    <row r="176" spans="1:18" x14ac:dyDescent="0.25">
      <c r="A176" s="5" t="s">
        <v>257</v>
      </c>
      <c r="B176" s="16">
        <v>45697</v>
      </c>
      <c r="C176" t="s">
        <v>53</v>
      </c>
      <c r="D176" t="s">
        <v>138</v>
      </c>
      <c r="E176" t="s">
        <v>28</v>
      </c>
      <c r="F176" t="s">
        <v>29</v>
      </c>
      <c r="G176" t="s">
        <v>21</v>
      </c>
      <c r="H176" t="s">
        <v>82</v>
      </c>
      <c r="I176" s="17">
        <v>3</v>
      </c>
      <c r="J176" s="7">
        <v>900</v>
      </c>
      <c r="K176" s="8">
        <v>0</v>
      </c>
      <c r="L176" s="7">
        <v>2700</v>
      </c>
      <c r="M176" s="7">
        <f>CleanSalesTable[[#This Row],[Sales Amount]]-CleanSalesTable[[#This Row],[Unit Price]]</f>
        <v>1800</v>
      </c>
      <c r="N176" t="s">
        <v>58</v>
      </c>
      <c r="O176" t="s">
        <v>74</v>
      </c>
      <c r="P176" t="str">
        <f t="shared" si="6"/>
        <v>Low</v>
      </c>
      <c r="Q176" t="str">
        <f t="shared" si="7"/>
        <v>Profit</v>
      </c>
      <c r="R176" s="9" t="str">
        <f t="shared" si="8"/>
        <v>Feb</v>
      </c>
    </row>
    <row r="177" spans="1:18" x14ac:dyDescent="0.25">
      <c r="A177" s="5" t="s">
        <v>258</v>
      </c>
      <c r="B177" s="16">
        <v>45968</v>
      </c>
      <c r="C177" t="s">
        <v>17</v>
      </c>
      <c r="D177" t="s">
        <v>104</v>
      </c>
      <c r="E177" t="s">
        <v>19</v>
      </c>
      <c r="F177" t="s">
        <v>20</v>
      </c>
      <c r="G177" t="s">
        <v>21</v>
      </c>
      <c r="H177" t="s">
        <v>22</v>
      </c>
      <c r="I177" s="17">
        <v>2</v>
      </c>
      <c r="J177" s="7">
        <v>1500</v>
      </c>
      <c r="K177" s="8">
        <v>0.15</v>
      </c>
      <c r="L177" s="7">
        <v>2550</v>
      </c>
      <c r="M177" s="7">
        <f>CleanSalesTable[[#This Row],[Sales Amount]]-CleanSalesTable[[#This Row],[Unit Price]]</f>
        <v>1050</v>
      </c>
      <c r="N177" t="s">
        <v>23</v>
      </c>
      <c r="O177" t="s">
        <v>59</v>
      </c>
      <c r="P177" t="str">
        <f t="shared" si="6"/>
        <v>Low</v>
      </c>
      <c r="Q177" t="str">
        <f t="shared" si="7"/>
        <v>Profit</v>
      </c>
      <c r="R177" s="9" t="str">
        <f t="shared" si="8"/>
        <v>Nov</v>
      </c>
    </row>
    <row r="178" spans="1:18" x14ac:dyDescent="0.25">
      <c r="A178" s="5" t="s">
        <v>259</v>
      </c>
      <c r="B178" s="16">
        <v>45807</v>
      </c>
      <c r="C178" t="s">
        <v>34</v>
      </c>
      <c r="D178" t="s">
        <v>104</v>
      </c>
      <c r="E178" t="s">
        <v>19</v>
      </c>
      <c r="F178" t="s">
        <v>20</v>
      </c>
      <c r="G178" t="s">
        <v>54</v>
      </c>
      <c r="H178" t="s">
        <v>68</v>
      </c>
      <c r="I178" s="17">
        <v>3</v>
      </c>
      <c r="J178" s="7">
        <v>52000</v>
      </c>
      <c r="K178" s="8">
        <v>0</v>
      </c>
      <c r="L178" s="7">
        <v>156000</v>
      </c>
      <c r="M178" s="7">
        <f>CleanSalesTable[[#This Row],[Sales Amount]]-CleanSalesTable[[#This Row],[Unit Price]]</f>
        <v>104000</v>
      </c>
      <c r="N178" t="s">
        <v>50</v>
      </c>
      <c r="O178" t="s">
        <v>32</v>
      </c>
      <c r="P178" t="str">
        <f t="shared" si="6"/>
        <v>High</v>
      </c>
      <c r="Q178" t="str">
        <f t="shared" si="7"/>
        <v>Profit</v>
      </c>
      <c r="R178" s="9" t="str">
        <f t="shared" si="8"/>
        <v>May</v>
      </c>
    </row>
    <row r="179" spans="1:18" x14ac:dyDescent="0.25">
      <c r="A179" s="5" t="s">
        <v>260</v>
      </c>
      <c r="B179" s="16">
        <v>45845</v>
      </c>
      <c r="C179" t="s">
        <v>53</v>
      </c>
      <c r="D179" t="s">
        <v>67</v>
      </c>
      <c r="E179" t="s">
        <v>36</v>
      </c>
      <c r="F179" t="s">
        <v>29</v>
      </c>
      <c r="G179" t="s">
        <v>48</v>
      </c>
      <c r="H179" t="s">
        <v>90</v>
      </c>
      <c r="I179" s="17">
        <v>3</v>
      </c>
      <c r="J179" s="7">
        <v>14500</v>
      </c>
      <c r="K179" s="8">
        <v>0.15</v>
      </c>
      <c r="L179" s="7">
        <v>36975</v>
      </c>
      <c r="M179" s="7">
        <f>CleanSalesTable[[#This Row],[Sales Amount]]-CleanSalesTable[[#This Row],[Unit Price]]</f>
        <v>22475</v>
      </c>
      <c r="N179" t="s">
        <v>38</v>
      </c>
      <c r="O179" t="s">
        <v>32</v>
      </c>
      <c r="P179" t="str">
        <f t="shared" si="6"/>
        <v>Medium</v>
      </c>
      <c r="Q179" t="str">
        <f t="shared" si="7"/>
        <v>Profit</v>
      </c>
      <c r="R179" s="9" t="str">
        <f t="shared" si="8"/>
        <v>Jul</v>
      </c>
    </row>
    <row r="180" spans="1:18" x14ac:dyDescent="0.25">
      <c r="A180" s="5" t="s">
        <v>261</v>
      </c>
      <c r="B180" s="16">
        <v>45924</v>
      </c>
      <c r="C180" t="s">
        <v>61</v>
      </c>
      <c r="D180" t="s">
        <v>89</v>
      </c>
      <c r="E180" t="s">
        <v>87</v>
      </c>
      <c r="F180" t="s">
        <v>20</v>
      </c>
      <c r="G180" t="s">
        <v>77</v>
      </c>
      <c r="H180" t="s">
        <v>78</v>
      </c>
      <c r="I180" s="17">
        <v>2</v>
      </c>
      <c r="J180" s="7">
        <v>21000</v>
      </c>
      <c r="K180" s="8">
        <v>0.05</v>
      </c>
      <c r="L180" s="7">
        <v>39900</v>
      </c>
      <c r="M180" s="7">
        <f>CleanSalesTable[[#This Row],[Sales Amount]]-CleanSalesTable[[#This Row],[Unit Price]]</f>
        <v>18900</v>
      </c>
      <c r="N180" t="s">
        <v>23</v>
      </c>
      <c r="O180" t="s">
        <v>51</v>
      </c>
      <c r="P180" t="str">
        <f t="shared" si="6"/>
        <v>Medium</v>
      </c>
      <c r="Q180" t="str">
        <f t="shared" si="7"/>
        <v>Profit</v>
      </c>
      <c r="R180" s="9" t="str">
        <f t="shared" si="8"/>
        <v>Sep</v>
      </c>
    </row>
    <row r="181" spans="1:18" x14ac:dyDescent="0.25">
      <c r="A181" s="5" t="s">
        <v>262</v>
      </c>
      <c r="B181" s="16">
        <v>46009</v>
      </c>
      <c r="C181" t="s">
        <v>34</v>
      </c>
      <c r="D181" t="s">
        <v>102</v>
      </c>
      <c r="E181" t="s">
        <v>36</v>
      </c>
      <c r="F181" t="s">
        <v>29</v>
      </c>
      <c r="G181" t="s">
        <v>54</v>
      </c>
      <c r="H181" t="s">
        <v>55</v>
      </c>
      <c r="I181" s="17">
        <v>3</v>
      </c>
      <c r="J181" s="7">
        <v>58000</v>
      </c>
      <c r="K181" s="8">
        <v>0.1</v>
      </c>
      <c r="L181" s="7">
        <v>156600</v>
      </c>
      <c r="M181" s="7">
        <f>CleanSalesTable[[#This Row],[Sales Amount]]-CleanSalesTable[[#This Row],[Unit Price]]</f>
        <v>98600</v>
      </c>
      <c r="N181" t="s">
        <v>38</v>
      </c>
      <c r="O181" t="s">
        <v>39</v>
      </c>
      <c r="P181" t="str">
        <f t="shared" si="6"/>
        <v>High</v>
      </c>
      <c r="Q181" t="str">
        <f t="shared" si="7"/>
        <v>Profit</v>
      </c>
      <c r="R181" s="9" t="str">
        <f t="shared" si="8"/>
        <v>Dec</v>
      </c>
    </row>
    <row r="182" spans="1:18" x14ac:dyDescent="0.25">
      <c r="A182" s="5" t="s">
        <v>263</v>
      </c>
      <c r="B182" s="16">
        <v>45895</v>
      </c>
      <c r="C182" t="s">
        <v>61</v>
      </c>
      <c r="D182" t="s">
        <v>41</v>
      </c>
      <c r="E182" t="s">
        <v>42</v>
      </c>
      <c r="F182" t="s">
        <v>43</v>
      </c>
      <c r="G182" t="s">
        <v>54</v>
      </c>
      <c r="H182" t="s">
        <v>55</v>
      </c>
      <c r="I182" s="17">
        <v>2</v>
      </c>
      <c r="J182" s="7">
        <v>58000</v>
      </c>
      <c r="K182" s="8">
        <v>0</v>
      </c>
      <c r="L182" s="7">
        <v>116000</v>
      </c>
      <c r="M182" s="7">
        <f>CleanSalesTable[[#This Row],[Sales Amount]]-CleanSalesTable[[#This Row],[Unit Price]]</f>
        <v>58000</v>
      </c>
      <c r="N182" t="s">
        <v>58</v>
      </c>
      <c r="O182" t="s">
        <v>32</v>
      </c>
      <c r="P182" t="str">
        <f t="shared" si="6"/>
        <v>High</v>
      </c>
      <c r="Q182" t="str">
        <f t="shared" si="7"/>
        <v>Profit</v>
      </c>
      <c r="R182" s="9" t="str">
        <f t="shared" si="8"/>
        <v>Aug</v>
      </c>
    </row>
    <row r="183" spans="1:18" x14ac:dyDescent="0.25">
      <c r="A183" s="5" t="s">
        <v>264</v>
      </c>
      <c r="B183" s="16">
        <v>45908</v>
      </c>
      <c r="C183" t="s">
        <v>53</v>
      </c>
      <c r="D183" t="s">
        <v>76</v>
      </c>
      <c r="E183" t="s">
        <v>42</v>
      </c>
      <c r="F183" t="s">
        <v>43</v>
      </c>
      <c r="G183" t="s">
        <v>48</v>
      </c>
      <c r="H183" t="s">
        <v>49</v>
      </c>
      <c r="I183" s="17">
        <v>2</v>
      </c>
      <c r="J183" s="7">
        <v>13500</v>
      </c>
      <c r="K183" s="8">
        <v>0</v>
      </c>
      <c r="L183" s="7">
        <v>27000</v>
      </c>
      <c r="M183" s="7">
        <f>CleanSalesTable[[#This Row],[Sales Amount]]-CleanSalesTable[[#This Row],[Unit Price]]</f>
        <v>13500</v>
      </c>
      <c r="N183" t="s">
        <v>38</v>
      </c>
      <c r="O183" t="s">
        <v>59</v>
      </c>
      <c r="P183" t="str">
        <f t="shared" si="6"/>
        <v>Low</v>
      </c>
      <c r="Q183" t="str">
        <f t="shared" si="7"/>
        <v>Profit</v>
      </c>
      <c r="R183" s="9" t="str">
        <f t="shared" si="8"/>
        <v>Sep</v>
      </c>
    </row>
    <row r="184" spans="1:18" x14ac:dyDescent="0.25">
      <c r="A184" s="5" t="s">
        <v>265</v>
      </c>
      <c r="B184" s="16">
        <v>45695</v>
      </c>
      <c r="C184" t="s">
        <v>17</v>
      </c>
      <c r="D184" t="s">
        <v>95</v>
      </c>
      <c r="E184" t="s">
        <v>87</v>
      </c>
      <c r="F184" t="s">
        <v>20</v>
      </c>
      <c r="G184" t="s">
        <v>30</v>
      </c>
      <c r="H184" t="s">
        <v>37</v>
      </c>
      <c r="I184" s="17">
        <v>4</v>
      </c>
      <c r="J184" s="7">
        <v>2800</v>
      </c>
      <c r="K184" s="8">
        <v>0.1</v>
      </c>
      <c r="L184" s="7">
        <v>10080</v>
      </c>
      <c r="M184" s="7">
        <f>CleanSalesTable[[#This Row],[Sales Amount]]-CleanSalesTable[[#This Row],[Unit Price]]</f>
        <v>7280</v>
      </c>
      <c r="N184" t="s">
        <v>23</v>
      </c>
      <c r="O184" t="s">
        <v>59</v>
      </c>
      <c r="P184" t="str">
        <f t="shared" si="6"/>
        <v>Low</v>
      </c>
      <c r="Q184" t="str">
        <f t="shared" si="7"/>
        <v>Profit</v>
      </c>
      <c r="R184" s="9" t="str">
        <f t="shared" si="8"/>
        <v>Feb</v>
      </c>
    </row>
    <row r="185" spans="1:18" x14ac:dyDescent="0.25">
      <c r="A185" s="5" t="s">
        <v>266</v>
      </c>
      <c r="B185" s="16">
        <v>45992</v>
      </c>
      <c r="C185" t="s">
        <v>84</v>
      </c>
      <c r="D185" t="s">
        <v>138</v>
      </c>
      <c r="E185" t="s">
        <v>28</v>
      </c>
      <c r="F185" t="s">
        <v>29</v>
      </c>
      <c r="G185" t="s">
        <v>48</v>
      </c>
      <c r="H185" t="s">
        <v>49</v>
      </c>
      <c r="I185" s="17">
        <v>2</v>
      </c>
      <c r="J185" s="7">
        <v>13500</v>
      </c>
      <c r="K185" s="8">
        <v>0.15</v>
      </c>
      <c r="L185" s="7">
        <v>22950</v>
      </c>
      <c r="M185" s="7">
        <f>CleanSalesTable[[#This Row],[Sales Amount]]-CleanSalesTable[[#This Row],[Unit Price]]</f>
        <v>9450</v>
      </c>
      <c r="N185" t="s">
        <v>50</v>
      </c>
      <c r="O185" t="s">
        <v>97</v>
      </c>
      <c r="P185" t="str">
        <f t="shared" si="6"/>
        <v>Low</v>
      </c>
      <c r="Q185" t="str">
        <f t="shared" si="7"/>
        <v>Profit</v>
      </c>
      <c r="R185" s="9" t="str">
        <f t="shared" si="8"/>
        <v>Dec</v>
      </c>
    </row>
    <row r="186" spans="1:18" x14ac:dyDescent="0.25">
      <c r="A186" s="5" t="s">
        <v>267</v>
      </c>
      <c r="B186" s="16">
        <v>46004</v>
      </c>
      <c r="C186" t="s">
        <v>94</v>
      </c>
      <c r="D186" t="s">
        <v>71</v>
      </c>
      <c r="E186" t="s">
        <v>72</v>
      </c>
      <c r="F186" t="s">
        <v>43</v>
      </c>
      <c r="G186" t="s">
        <v>54</v>
      </c>
      <c r="H186" t="s">
        <v>68</v>
      </c>
      <c r="I186" s="17">
        <v>3</v>
      </c>
      <c r="J186" s="7">
        <v>52000</v>
      </c>
      <c r="K186" s="8">
        <v>0.15</v>
      </c>
      <c r="L186" s="7">
        <v>132600</v>
      </c>
      <c r="M186" s="7">
        <f>CleanSalesTable[[#This Row],[Sales Amount]]-CleanSalesTable[[#This Row],[Unit Price]]</f>
        <v>80600</v>
      </c>
      <c r="N186" t="s">
        <v>23</v>
      </c>
      <c r="O186" t="s">
        <v>79</v>
      </c>
      <c r="P186" t="str">
        <f t="shared" si="6"/>
        <v>High</v>
      </c>
      <c r="Q186" t="str">
        <f t="shared" si="7"/>
        <v>Profit</v>
      </c>
      <c r="R186" s="9" t="str">
        <f t="shared" si="8"/>
        <v>Dec</v>
      </c>
    </row>
    <row r="187" spans="1:18" x14ac:dyDescent="0.25">
      <c r="A187" s="5" t="s">
        <v>268</v>
      </c>
      <c r="B187" s="16">
        <v>45671</v>
      </c>
      <c r="C187" t="s">
        <v>26</v>
      </c>
      <c r="D187" t="s">
        <v>95</v>
      </c>
      <c r="E187" t="s">
        <v>87</v>
      </c>
      <c r="F187" t="s">
        <v>20</v>
      </c>
      <c r="G187" t="s">
        <v>77</v>
      </c>
      <c r="H187" t="s">
        <v>111</v>
      </c>
      <c r="I187" s="17">
        <v>4</v>
      </c>
      <c r="J187" s="7">
        <v>29000</v>
      </c>
      <c r="K187" s="8">
        <v>0.1</v>
      </c>
      <c r="L187" s="7">
        <v>104400</v>
      </c>
      <c r="M187" s="7">
        <f>CleanSalesTable[[#This Row],[Sales Amount]]-CleanSalesTable[[#This Row],[Unit Price]]</f>
        <v>75400</v>
      </c>
      <c r="N187" t="s">
        <v>50</v>
      </c>
      <c r="O187" t="s">
        <v>97</v>
      </c>
      <c r="P187" t="str">
        <f t="shared" si="6"/>
        <v>High</v>
      </c>
      <c r="Q187" t="str">
        <f t="shared" si="7"/>
        <v>Profit</v>
      </c>
      <c r="R187" s="9" t="str">
        <f t="shared" si="8"/>
        <v>Jan</v>
      </c>
    </row>
    <row r="188" spans="1:18" x14ac:dyDescent="0.25">
      <c r="A188" s="5" t="s">
        <v>269</v>
      </c>
      <c r="B188" s="16">
        <v>45911</v>
      </c>
      <c r="C188" t="s">
        <v>61</v>
      </c>
      <c r="D188" t="s">
        <v>92</v>
      </c>
      <c r="E188" t="s">
        <v>42</v>
      </c>
      <c r="F188" t="s">
        <v>43</v>
      </c>
      <c r="G188" t="s">
        <v>48</v>
      </c>
      <c r="H188" t="s">
        <v>90</v>
      </c>
      <c r="I188" s="17">
        <v>1</v>
      </c>
      <c r="J188" s="7">
        <v>14500</v>
      </c>
      <c r="K188" s="8">
        <v>0</v>
      </c>
      <c r="L188" s="7">
        <v>14500</v>
      </c>
      <c r="M188" s="7">
        <f>CleanSalesTable[[#This Row],[Sales Amount]]-CleanSalesTable[[#This Row],[Unit Price]]</f>
        <v>0</v>
      </c>
      <c r="N188" t="s">
        <v>23</v>
      </c>
      <c r="O188" t="s">
        <v>59</v>
      </c>
      <c r="P188" t="str">
        <f t="shared" si="6"/>
        <v>Low</v>
      </c>
      <c r="Q188" t="str">
        <f t="shared" si="7"/>
        <v>Loss</v>
      </c>
      <c r="R188" s="9" t="str">
        <f t="shared" si="8"/>
        <v>Sep</v>
      </c>
    </row>
    <row r="189" spans="1:18" x14ac:dyDescent="0.25">
      <c r="A189" s="5" t="s">
        <v>270</v>
      </c>
      <c r="B189" s="16">
        <v>45696</v>
      </c>
      <c r="C189" t="s">
        <v>46</v>
      </c>
      <c r="D189" t="s">
        <v>81</v>
      </c>
      <c r="E189" t="s">
        <v>72</v>
      </c>
      <c r="F189" t="s">
        <v>43</v>
      </c>
      <c r="G189" t="s">
        <v>77</v>
      </c>
      <c r="H189" t="s">
        <v>78</v>
      </c>
      <c r="I189" s="17">
        <v>4</v>
      </c>
      <c r="J189" s="7">
        <v>21000</v>
      </c>
      <c r="K189" s="8">
        <v>0</v>
      </c>
      <c r="L189" s="7">
        <v>84000</v>
      </c>
      <c r="M189" s="7">
        <f>CleanSalesTable[[#This Row],[Sales Amount]]-CleanSalesTable[[#This Row],[Unit Price]]</f>
        <v>63000</v>
      </c>
      <c r="N189" t="s">
        <v>23</v>
      </c>
      <c r="O189" t="s">
        <v>32</v>
      </c>
      <c r="P189" t="str">
        <f t="shared" si="6"/>
        <v>Medium</v>
      </c>
      <c r="Q189" t="str">
        <f t="shared" si="7"/>
        <v>Profit</v>
      </c>
      <c r="R189" s="9" t="str">
        <f t="shared" si="8"/>
        <v>Feb</v>
      </c>
    </row>
    <row r="190" spans="1:18" x14ac:dyDescent="0.25">
      <c r="A190" s="5" t="s">
        <v>271</v>
      </c>
      <c r="B190" s="16">
        <v>46012</v>
      </c>
      <c r="C190" t="s">
        <v>53</v>
      </c>
      <c r="D190" t="s">
        <v>110</v>
      </c>
      <c r="E190" t="s">
        <v>72</v>
      </c>
      <c r="F190" t="s">
        <v>43</v>
      </c>
      <c r="G190" t="s">
        <v>54</v>
      </c>
      <c r="H190" t="s">
        <v>55</v>
      </c>
      <c r="I190" s="17">
        <v>2</v>
      </c>
      <c r="J190" s="7">
        <v>58000</v>
      </c>
      <c r="K190" s="8">
        <v>0</v>
      </c>
      <c r="L190" s="7">
        <v>116000</v>
      </c>
      <c r="M190" s="7">
        <f>CleanSalesTable[[#This Row],[Sales Amount]]-CleanSalesTable[[#This Row],[Unit Price]]</f>
        <v>58000</v>
      </c>
      <c r="N190" t="s">
        <v>50</v>
      </c>
      <c r="O190" t="s">
        <v>32</v>
      </c>
      <c r="P190" t="str">
        <f t="shared" si="6"/>
        <v>High</v>
      </c>
      <c r="Q190" t="str">
        <f t="shared" si="7"/>
        <v>Profit</v>
      </c>
      <c r="R190" s="9" t="str">
        <f t="shared" si="8"/>
        <v>Dec</v>
      </c>
    </row>
    <row r="191" spans="1:18" x14ac:dyDescent="0.25">
      <c r="A191" s="5" t="s">
        <v>272</v>
      </c>
      <c r="B191" s="16">
        <v>45761</v>
      </c>
      <c r="C191" t="s">
        <v>26</v>
      </c>
      <c r="D191" t="s">
        <v>95</v>
      </c>
      <c r="E191" t="s">
        <v>87</v>
      </c>
      <c r="F191" t="s">
        <v>20</v>
      </c>
      <c r="G191" t="s">
        <v>30</v>
      </c>
      <c r="H191" t="s">
        <v>37</v>
      </c>
      <c r="I191" s="17">
        <v>4</v>
      </c>
      <c r="J191" s="7">
        <v>2800</v>
      </c>
      <c r="K191" s="8">
        <v>0</v>
      </c>
      <c r="L191" s="7">
        <v>11200</v>
      </c>
      <c r="M191" s="7">
        <f>CleanSalesTable[[#This Row],[Sales Amount]]-CleanSalesTable[[#This Row],[Unit Price]]</f>
        <v>8400</v>
      </c>
      <c r="N191" t="s">
        <v>38</v>
      </c>
      <c r="O191" t="s">
        <v>74</v>
      </c>
      <c r="P191" t="str">
        <f t="shared" si="6"/>
        <v>Low</v>
      </c>
      <c r="Q191" t="str">
        <f t="shared" si="7"/>
        <v>Profit</v>
      </c>
      <c r="R191" s="9" t="str">
        <f t="shared" si="8"/>
        <v>Apr</v>
      </c>
    </row>
    <row r="192" spans="1:18" x14ac:dyDescent="0.25">
      <c r="A192" s="5" t="s">
        <v>273</v>
      </c>
      <c r="B192" s="16">
        <v>45976</v>
      </c>
      <c r="C192" t="s">
        <v>34</v>
      </c>
      <c r="D192" t="s">
        <v>71</v>
      </c>
      <c r="E192" t="s">
        <v>72</v>
      </c>
      <c r="F192" t="s">
        <v>43</v>
      </c>
      <c r="G192" t="s">
        <v>48</v>
      </c>
      <c r="H192" t="s">
        <v>105</v>
      </c>
      <c r="I192" s="17">
        <v>4</v>
      </c>
      <c r="J192" s="7">
        <v>21000</v>
      </c>
      <c r="K192" s="8">
        <v>0</v>
      </c>
      <c r="L192" s="7">
        <v>84000</v>
      </c>
      <c r="M192" s="7">
        <f>CleanSalesTable[[#This Row],[Sales Amount]]-CleanSalesTable[[#This Row],[Unit Price]]</f>
        <v>63000</v>
      </c>
      <c r="N192" t="s">
        <v>50</v>
      </c>
      <c r="O192" t="s">
        <v>32</v>
      </c>
      <c r="P192" t="str">
        <f t="shared" si="6"/>
        <v>Medium</v>
      </c>
      <c r="Q192" t="str">
        <f t="shared" si="7"/>
        <v>Profit</v>
      </c>
      <c r="R192" s="9" t="str">
        <f t="shared" si="8"/>
        <v>Nov</v>
      </c>
    </row>
    <row r="193" spans="1:18" x14ac:dyDescent="0.25">
      <c r="A193" s="5" t="s">
        <v>274</v>
      </c>
      <c r="B193" s="16">
        <v>45665</v>
      </c>
      <c r="C193" t="s">
        <v>46</v>
      </c>
      <c r="D193" t="s">
        <v>92</v>
      </c>
      <c r="E193" t="s">
        <v>42</v>
      </c>
      <c r="F193" t="s">
        <v>43</v>
      </c>
      <c r="G193" t="s">
        <v>30</v>
      </c>
      <c r="H193" t="s">
        <v>37</v>
      </c>
      <c r="I193" s="17">
        <v>2</v>
      </c>
      <c r="J193" s="7">
        <v>2800</v>
      </c>
      <c r="K193" s="8">
        <v>0.1</v>
      </c>
      <c r="L193" s="7">
        <v>5040</v>
      </c>
      <c r="M193" s="7">
        <f>CleanSalesTable[[#This Row],[Sales Amount]]-CleanSalesTable[[#This Row],[Unit Price]]</f>
        <v>2240</v>
      </c>
      <c r="N193" t="s">
        <v>50</v>
      </c>
      <c r="O193" t="s">
        <v>39</v>
      </c>
      <c r="P193" t="str">
        <f t="shared" si="6"/>
        <v>Low</v>
      </c>
      <c r="Q193" t="str">
        <f t="shared" si="7"/>
        <v>Profit</v>
      </c>
      <c r="R193" s="9" t="str">
        <f t="shared" si="8"/>
        <v>Jan</v>
      </c>
    </row>
    <row r="194" spans="1:18" x14ac:dyDescent="0.25">
      <c r="A194" s="5" t="s">
        <v>275</v>
      </c>
      <c r="B194" s="16">
        <v>45863</v>
      </c>
      <c r="C194" t="s">
        <v>94</v>
      </c>
      <c r="D194" t="s">
        <v>47</v>
      </c>
      <c r="E194" t="s">
        <v>19</v>
      </c>
      <c r="F194" t="s">
        <v>20</v>
      </c>
      <c r="G194" t="s">
        <v>48</v>
      </c>
      <c r="H194" t="s">
        <v>49</v>
      </c>
      <c r="I194" s="17">
        <v>3</v>
      </c>
      <c r="J194" s="7">
        <v>13500</v>
      </c>
      <c r="K194" s="8">
        <v>0</v>
      </c>
      <c r="L194" s="7">
        <v>40500</v>
      </c>
      <c r="M194" s="7">
        <f>CleanSalesTable[[#This Row],[Sales Amount]]-CleanSalesTable[[#This Row],[Unit Price]]</f>
        <v>27000</v>
      </c>
      <c r="N194" t="s">
        <v>58</v>
      </c>
      <c r="O194" t="s">
        <v>79</v>
      </c>
      <c r="P194" t="str">
        <f t="shared" si="6"/>
        <v>Medium</v>
      </c>
      <c r="Q194" t="str">
        <f t="shared" si="7"/>
        <v>Profit</v>
      </c>
      <c r="R194" s="9" t="str">
        <f t="shared" si="8"/>
        <v>Jul</v>
      </c>
    </row>
    <row r="195" spans="1:18" x14ac:dyDescent="0.25">
      <c r="A195" s="5" t="s">
        <v>276</v>
      </c>
      <c r="B195" s="16">
        <v>45970</v>
      </c>
      <c r="C195" t="s">
        <v>94</v>
      </c>
      <c r="D195" t="s">
        <v>67</v>
      </c>
      <c r="E195" t="s">
        <v>36</v>
      </c>
      <c r="F195" t="s">
        <v>29</v>
      </c>
      <c r="G195" t="s">
        <v>54</v>
      </c>
      <c r="H195" t="s">
        <v>68</v>
      </c>
      <c r="I195" s="17">
        <v>2</v>
      </c>
      <c r="J195" s="7">
        <v>52000</v>
      </c>
      <c r="K195" s="8">
        <v>0.05</v>
      </c>
      <c r="L195" s="7">
        <v>98800</v>
      </c>
      <c r="M195" s="7">
        <f>CleanSalesTable[[#This Row],[Sales Amount]]-CleanSalesTable[[#This Row],[Unit Price]]</f>
        <v>46800</v>
      </c>
      <c r="N195" t="s">
        <v>23</v>
      </c>
      <c r="O195" t="s">
        <v>24</v>
      </c>
      <c r="P195" t="str">
        <f t="shared" si="6"/>
        <v>Medium</v>
      </c>
      <c r="Q195" t="str">
        <f t="shared" si="7"/>
        <v>Profit</v>
      </c>
      <c r="R195" s="9" t="str">
        <f t="shared" si="8"/>
        <v>Nov</v>
      </c>
    </row>
    <row r="196" spans="1:18" x14ac:dyDescent="0.25">
      <c r="A196" s="5" t="s">
        <v>277</v>
      </c>
      <c r="B196" s="16">
        <v>45707</v>
      </c>
      <c r="C196" t="s">
        <v>118</v>
      </c>
      <c r="D196" t="s">
        <v>35</v>
      </c>
      <c r="E196" t="s">
        <v>36</v>
      </c>
      <c r="F196" t="s">
        <v>29</v>
      </c>
      <c r="G196" t="s">
        <v>21</v>
      </c>
      <c r="H196" t="s">
        <v>22</v>
      </c>
      <c r="I196" s="17">
        <v>4</v>
      </c>
      <c r="J196" s="7">
        <v>1500</v>
      </c>
      <c r="K196" s="8">
        <v>0.15</v>
      </c>
      <c r="L196" s="7">
        <v>5100</v>
      </c>
      <c r="M196" s="7">
        <f>CleanSalesTable[[#This Row],[Sales Amount]]-CleanSalesTable[[#This Row],[Unit Price]]</f>
        <v>3600</v>
      </c>
      <c r="N196" t="s">
        <v>73</v>
      </c>
      <c r="O196" t="s">
        <v>39</v>
      </c>
      <c r="P196" t="str">
        <f t="shared" si="6"/>
        <v>Low</v>
      </c>
      <c r="Q196" t="str">
        <f t="shared" si="7"/>
        <v>Profit</v>
      </c>
      <c r="R196" s="9" t="str">
        <f t="shared" si="8"/>
        <v>Feb</v>
      </c>
    </row>
    <row r="197" spans="1:18" x14ac:dyDescent="0.25">
      <c r="A197" s="5" t="s">
        <v>278</v>
      </c>
      <c r="B197" s="16">
        <v>46014</v>
      </c>
      <c r="C197" t="s">
        <v>61</v>
      </c>
      <c r="D197" t="s">
        <v>47</v>
      </c>
      <c r="E197" t="s">
        <v>19</v>
      </c>
      <c r="F197" t="s">
        <v>20</v>
      </c>
      <c r="G197" t="s">
        <v>54</v>
      </c>
      <c r="H197" t="s">
        <v>68</v>
      </c>
      <c r="I197" s="17">
        <v>2</v>
      </c>
      <c r="J197" s="7">
        <v>52000</v>
      </c>
      <c r="K197" s="8">
        <v>0.15</v>
      </c>
      <c r="L197" s="7">
        <v>88400</v>
      </c>
      <c r="M197" s="7">
        <f>CleanSalesTable[[#This Row],[Sales Amount]]-CleanSalesTable[[#This Row],[Unit Price]]</f>
        <v>36400</v>
      </c>
      <c r="N197" t="s">
        <v>38</v>
      </c>
      <c r="O197" t="s">
        <v>97</v>
      </c>
      <c r="P197" t="str">
        <f t="shared" ref="P197:P260" si="9">IF(L197&gt;=100000,"High",IF(L197&gt;=30000,"Medium","Low"))</f>
        <v>Medium</v>
      </c>
      <c r="Q197" t="str">
        <f t="shared" ref="Q197:Q260" si="10">IF(M197&gt;0,"Profit","Loss")</f>
        <v>Profit</v>
      </c>
      <c r="R197" s="9" t="str">
        <f t="shared" ref="R197:R260" si="11">TEXT(B197,"mmm")</f>
        <v>Dec</v>
      </c>
    </row>
    <row r="198" spans="1:18" x14ac:dyDescent="0.25">
      <c r="A198" s="5" t="s">
        <v>279</v>
      </c>
      <c r="B198" s="16">
        <v>45663</v>
      </c>
      <c r="C198" t="s">
        <v>17</v>
      </c>
      <c r="D198" t="s">
        <v>27</v>
      </c>
      <c r="E198" t="s">
        <v>28</v>
      </c>
      <c r="F198" t="s">
        <v>29</v>
      </c>
      <c r="G198" t="s">
        <v>21</v>
      </c>
      <c r="H198" t="s">
        <v>22</v>
      </c>
      <c r="I198" s="17">
        <v>1</v>
      </c>
      <c r="J198" s="7">
        <v>1500</v>
      </c>
      <c r="K198" s="8">
        <v>0.15</v>
      </c>
      <c r="L198" s="7">
        <v>1275</v>
      </c>
      <c r="M198" s="7">
        <f>CleanSalesTable[[#This Row],[Sales Amount]]-CleanSalesTable[[#This Row],[Unit Price]]</f>
        <v>-225</v>
      </c>
      <c r="N198" t="s">
        <v>73</v>
      </c>
      <c r="O198" t="s">
        <v>39</v>
      </c>
      <c r="P198" t="str">
        <f t="shared" si="9"/>
        <v>Low</v>
      </c>
      <c r="Q198" t="str">
        <f t="shared" si="10"/>
        <v>Loss</v>
      </c>
      <c r="R198" s="9" t="str">
        <f t="shared" si="11"/>
        <v>Jan</v>
      </c>
    </row>
    <row r="199" spans="1:18" x14ac:dyDescent="0.25">
      <c r="A199" s="5" t="s">
        <v>280</v>
      </c>
      <c r="B199" s="16">
        <v>45789</v>
      </c>
      <c r="C199" t="s">
        <v>84</v>
      </c>
      <c r="D199" t="s">
        <v>41</v>
      </c>
      <c r="E199" t="s">
        <v>42</v>
      </c>
      <c r="F199" t="s">
        <v>43</v>
      </c>
      <c r="G199" t="s">
        <v>77</v>
      </c>
      <c r="H199" t="s">
        <v>78</v>
      </c>
      <c r="I199" s="17">
        <v>3</v>
      </c>
      <c r="J199" s="7">
        <v>21000</v>
      </c>
      <c r="K199" s="8">
        <v>0</v>
      </c>
      <c r="L199" s="7">
        <v>63000</v>
      </c>
      <c r="M199" s="7">
        <f>CleanSalesTable[[#This Row],[Sales Amount]]-CleanSalesTable[[#This Row],[Unit Price]]</f>
        <v>42000</v>
      </c>
      <c r="N199" t="s">
        <v>23</v>
      </c>
      <c r="O199" t="s">
        <v>39</v>
      </c>
      <c r="P199" t="str">
        <f t="shared" si="9"/>
        <v>Medium</v>
      </c>
      <c r="Q199" t="str">
        <f t="shared" si="10"/>
        <v>Profit</v>
      </c>
      <c r="R199" s="9" t="str">
        <f t="shared" si="11"/>
        <v>May</v>
      </c>
    </row>
    <row r="200" spans="1:18" x14ac:dyDescent="0.25">
      <c r="A200" s="5" t="s">
        <v>281</v>
      </c>
      <c r="B200" s="16">
        <v>45880</v>
      </c>
      <c r="C200" t="s">
        <v>61</v>
      </c>
      <c r="D200" t="s">
        <v>86</v>
      </c>
      <c r="E200" t="s">
        <v>87</v>
      </c>
      <c r="F200" t="s">
        <v>20</v>
      </c>
      <c r="G200" t="s">
        <v>30</v>
      </c>
      <c r="H200" t="s">
        <v>57</v>
      </c>
      <c r="I200" s="17">
        <v>4</v>
      </c>
      <c r="J200" s="7">
        <v>4500</v>
      </c>
      <c r="K200" s="8">
        <v>0.05</v>
      </c>
      <c r="L200" s="7">
        <v>17100</v>
      </c>
      <c r="M200" s="7">
        <f>CleanSalesTable[[#This Row],[Sales Amount]]-CleanSalesTable[[#This Row],[Unit Price]]</f>
        <v>12600</v>
      </c>
      <c r="N200" t="s">
        <v>50</v>
      </c>
      <c r="O200" t="s">
        <v>59</v>
      </c>
      <c r="P200" t="str">
        <f t="shared" si="9"/>
        <v>Low</v>
      </c>
      <c r="Q200" t="str">
        <f t="shared" si="10"/>
        <v>Profit</v>
      </c>
      <c r="R200" s="9" t="str">
        <f t="shared" si="11"/>
        <v>Aug</v>
      </c>
    </row>
    <row r="201" spans="1:18" x14ac:dyDescent="0.25">
      <c r="A201" s="5" t="s">
        <v>282</v>
      </c>
      <c r="B201" s="16">
        <v>45668</v>
      </c>
      <c r="C201" t="s">
        <v>46</v>
      </c>
      <c r="D201" t="s">
        <v>71</v>
      </c>
      <c r="E201" t="s">
        <v>72</v>
      </c>
      <c r="F201" t="s">
        <v>43</v>
      </c>
      <c r="G201" t="s">
        <v>77</v>
      </c>
      <c r="H201" t="s">
        <v>111</v>
      </c>
      <c r="I201" s="17">
        <v>3</v>
      </c>
      <c r="J201" s="7">
        <v>29000</v>
      </c>
      <c r="K201" s="8">
        <v>0.1</v>
      </c>
      <c r="L201" s="7">
        <v>78300</v>
      </c>
      <c r="M201" s="7">
        <f>CleanSalesTable[[#This Row],[Sales Amount]]-CleanSalesTable[[#This Row],[Unit Price]]</f>
        <v>49300</v>
      </c>
      <c r="N201" t="s">
        <v>58</v>
      </c>
      <c r="O201" t="s">
        <v>59</v>
      </c>
      <c r="P201" t="str">
        <f t="shared" si="9"/>
        <v>Medium</v>
      </c>
      <c r="Q201" t="str">
        <f t="shared" si="10"/>
        <v>Profit</v>
      </c>
      <c r="R201" s="9" t="str">
        <f t="shared" si="11"/>
        <v>Jan</v>
      </c>
    </row>
    <row r="202" spans="1:18" x14ac:dyDescent="0.25">
      <c r="A202" s="5" t="s">
        <v>283</v>
      </c>
      <c r="B202" s="16">
        <v>45681</v>
      </c>
      <c r="C202" t="s">
        <v>17</v>
      </c>
      <c r="D202" t="s">
        <v>47</v>
      </c>
      <c r="E202" t="s">
        <v>19</v>
      </c>
      <c r="F202" t="s">
        <v>20</v>
      </c>
      <c r="G202" t="s">
        <v>54</v>
      </c>
      <c r="H202" t="s">
        <v>68</v>
      </c>
      <c r="I202" s="17">
        <v>4</v>
      </c>
      <c r="J202" s="7">
        <v>52000</v>
      </c>
      <c r="K202" s="8">
        <v>0</v>
      </c>
      <c r="L202" s="7">
        <v>208000</v>
      </c>
      <c r="M202" s="7">
        <f>CleanSalesTable[[#This Row],[Sales Amount]]-CleanSalesTable[[#This Row],[Unit Price]]</f>
        <v>156000</v>
      </c>
      <c r="N202" t="s">
        <v>38</v>
      </c>
      <c r="O202" t="s">
        <v>74</v>
      </c>
      <c r="P202" t="str">
        <f t="shared" si="9"/>
        <v>High</v>
      </c>
      <c r="Q202" t="str">
        <f t="shared" si="10"/>
        <v>Profit</v>
      </c>
      <c r="R202" s="9" t="str">
        <f t="shared" si="11"/>
        <v>Jan</v>
      </c>
    </row>
    <row r="203" spans="1:18" x14ac:dyDescent="0.25">
      <c r="A203" s="5" t="s">
        <v>284</v>
      </c>
      <c r="B203" s="16">
        <v>45858</v>
      </c>
      <c r="C203" t="s">
        <v>70</v>
      </c>
      <c r="D203" t="s">
        <v>41</v>
      </c>
      <c r="E203" t="s">
        <v>42</v>
      </c>
      <c r="F203" t="s">
        <v>43</v>
      </c>
      <c r="G203" t="s">
        <v>21</v>
      </c>
      <c r="H203" t="s">
        <v>82</v>
      </c>
      <c r="I203" s="17">
        <v>4</v>
      </c>
      <c r="J203" s="7">
        <v>900</v>
      </c>
      <c r="K203" s="8">
        <v>0</v>
      </c>
      <c r="L203" s="7">
        <v>3600</v>
      </c>
      <c r="M203" s="7">
        <f>CleanSalesTable[[#This Row],[Sales Amount]]-CleanSalesTable[[#This Row],[Unit Price]]</f>
        <v>2700</v>
      </c>
      <c r="N203" t="s">
        <v>73</v>
      </c>
      <c r="O203" t="s">
        <v>39</v>
      </c>
      <c r="P203" t="str">
        <f t="shared" si="9"/>
        <v>Low</v>
      </c>
      <c r="Q203" t="str">
        <f t="shared" si="10"/>
        <v>Profit</v>
      </c>
      <c r="R203" s="9" t="str">
        <f t="shared" si="11"/>
        <v>Jul</v>
      </c>
    </row>
    <row r="204" spans="1:18" x14ac:dyDescent="0.25">
      <c r="A204" s="5" t="s">
        <v>285</v>
      </c>
      <c r="B204" s="16">
        <v>45812</v>
      </c>
      <c r="C204" t="s">
        <v>70</v>
      </c>
      <c r="D204" t="s">
        <v>47</v>
      </c>
      <c r="E204" t="s">
        <v>19</v>
      </c>
      <c r="F204" t="s">
        <v>20</v>
      </c>
      <c r="G204" t="s">
        <v>54</v>
      </c>
      <c r="H204" t="s">
        <v>68</v>
      </c>
      <c r="I204" s="17">
        <v>3</v>
      </c>
      <c r="J204" s="7">
        <v>52000</v>
      </c>
      <c r="K204" s="8">
        <v>0.05</v>
      </c>
      <c r="L204" s="7">
        <v>148200</v>
      </c>
      <c r="M204" s="7">
        <f>CleanSalesTable[[#This Row],[Sales Amount]]-CleanSalesTable[[#This Row],[Unit Price]]</f>
        <v>96200</v>
      </c>
      <c r="N204" t="s">
        <v>38</v>
      </c>
      <c r="O204" t="s">
        <v>59</v>
      </c>
      <c r="P204" t="str">
        <f t="shared" si="9"/>
        <v>High</v>
      </c>
      <c r="Q204" t="str">
        <f t="shared" si="10"/>
        <v>Profit</v>
      </c>
      <c r="R204" s="9" t="str">
        <f t="shared" si="11"/>
        <v>Jun</v>
      </c>
    </row>
    <row r="205" spans="1:18" x14ac:dyDescent="0.25">
      <c r="A205" s="5" t="s">
        <v>286</v>
      </c>
      <c r="B205" s="16">
        <v>45772</v>
      </c>
      <c r="C205" t="s">
        <v>70</v>
      </c>
      <c r="D205" t="s">
        <v>27</v>
      </c>
      <c r="E205" t="s">
        <v>28</v>
      </c>
      <c r="F205" t="s">
        <v>29</v>
      </c>
      <c r="G205" t="s">
        <v>48</v>
      </c>
      <c r="H205" t="s">
        <v>105</v>
      </c>
      <c r="I205" s="17">
        <v>4</v>
      </c>
      <c r="J205" s="7">
        <v>21000</v>
      </c>
      <c r="K205" s="8">
        <v>0</v>
      </c>
      <c r="L205" s="7">
        <v>84000</v>
      </c>
      <c r="M205" s="7">
        <f>CleanSalesTable[[#This Row],[Sales Amount]]-CleanSalesTable[[#This Row],[Unit Price]]</f>
        <v>63000</v>
      </c>
      <c r="N205" t="s">
        <v>38</v>
      </c>
      <c r="O205" t="s">
        <v>97</v>
      </c>
      <c r="P205" t="str">
        <f t="shared" si="9"/>
        <v>Medium</v>
      </c>
      <c r="Q205" t="str">
        <f t="shared" si="10"/>
        <v>Profit</v>
      </c>
      <c r="R205" s="9" t="str">
        <f t="shared" si="11"/>
        <v>Apr</v>
      </c>
    </row>
    <row r="206" spans="1:18" x14ac:dyDescent="0.25">
      <c r="A206" s="5" t="s">
        <v>287</v>
      </c>
      <c r="B206" s="16">
        <v>45789</v>
      </c>
      <c r="C206" t="s">
        <v>94</v>
      </c>
      <c r="D206" t="s">
        <v>95</v>
      </c>
      <c r="E206" t="s">
        <v>87</v>
      </c>
      <c r="F206" t="s">
        <v>20</v>
      </c>
      <c r="G206" t="s">
        <v>77</v>
      </c>
      <c r="H206" t="s">
        <v>99</v>
      </c>
      <c r="I206" s="17">
        <v>2</v>
      </c>
      <c r="J206" s="7">
        <v>24000</v>
      </c>
      <c r="K206" s="8">
        <v>0.15</v>
      </c>
      <c r="L206" s="7">
        <v>40800</v>
      </c>
      <c r="M206" s="7">
        <f>CleanSalesTable[[#This Row],[Sales Amount]]-CleanSalesTable[[#This Row],[Unit Price]]</f>
        <v>16800</v>
      </c>
      <c r="N206" t="s">
        <v>73</v>
      </c>
      <c r="O206" t="s">
        <v>32</v>
      </c>
      <c r="P206" t="str">
        <f t="shared" si="9"/>
        <v>Medium</v>
      </c>
      <c r="Q206" t="str">
        <f t="shared" si="10"/>
        <v>Profit</v>
      </c>
      <c r="R206" s="9" t="str">
        <f t="shared" si="11"/>
        <v>May</v>
      </c>
    </row>
    <row r="207" spans="1:18" x14ac:dyDescent="0.25">
      <c r="A207" s="5" t="s">
        <v>288</v>
      </c>
      <c r="B207" s="16">
        <v>45764</v>
      </c>
      <c r="C207" t="s">
        <v>84</v>
      </c>
      <c r="D207" t="s">
        <v>35</v>
      </c>
      <c r="E207" t="s">
        <v>36</v>
      </c>
      <c r="F207" t="s">
        <v>29</v>
      </c>
      <c r="G207" t="s">
        <v>54</v>
      </c>
      <c r="H207" t="s">
        <v>68</v>
      </c>
      <c r="I207" s="17">
        <v>2</v>
      </c>
      <c r="J207" s="7">
        <v>52000</v>
      </c>
      <c r="K207" s="8">
        <v>0.15</v>
      </c>
      <c r="L207" s="7">
        <v>88400</v>
      </c>
      <c r="M207" s="7">
        <f>CleanSalesTable[[#This Row],[Sales Amount]]-CleanSalesTable[[#This Row],[Unit Price]]</f>
        <v>36400</v>
      </c>
      <c r="N207" t="s">
        <v>58</v>
      </c>
      <c r="O207" t="s">
        <v>24</v>
      </c>
      <c r="P207" t="str">
        <f t="shared" si="9"/>
        <v>Medium</v>
      </c>
      <c r="Q207" t="str">
        <f t="shared" si="10"/>
        <v>Profit</v>
      </c>
      <c r="R207" s="9" t="str">
        <f t="shared" si="11"/>
        <v>Apr</v>
      </c>
    </row>
    <row r="208" spans="1:18" x14ac:dyDescent="0.25">
      <c r="A208" s="5" t="s">
        <v>289</v>
      </c>
      <c r="B208" s="16">
        <v>45838</v>
      </c>
      <c r="C208" t="s">
        <v>94</v>
      </c>
      <c r="D208" t="s">
        <v>62</v>
      </c>
      <c r="E208" t="s">
        <v>28</v>
      </c>
      <c r="F208" t="s">
        <v>29</v>
      </c>
      <c r="G208" t="s">
        <v>54</v>
      </c>
      <c r="H208" t="s">
        <v>55</v>
      </c>
      <c r="I208" s="17">
        <v>4</v>
      </c>
      <c r="J208" s="7">
        <v>58000</v>
      </c>
      <c r="K208" s="8">
        <v>0.1</v>
      </c>
      <c r="L208" s="7">
        <v>208800</v>
      </c>
      <c r="M208" s="7">
        <f>CleanSalesTable[[#This Row],[Sales Amount]]-CleanSalesTable[[#This Row],[Unit Price]]</f>
        <v>150800</v>
      </c>
      <c r="N208" t="s">
        <v>58</v>
      </c>
      <c r="O208" t="s">
        <v>39</v>
      </c>
      <c r="P208" t="str">
        <f t="shared" si="9"/>
        <v>High</v>
      </c>
      <c r="Q208" t="str">
        <f t="shared" si="10"/>
        <v>Profit</v>
      </c>
      <c r="R208" s="9" t="str">
        <f t="shared" si="11"/>
        <v>Jun</v>
      </c>
    </row>
    <row r="209" spans="1:18" x14ac:dyDescent="0.25">
      <c r="A209" s="5" t="s">
        <v>290</v>
      </c>
      <c r="B209" s="16">
        <v>45758</v>
      </c>
      <c r="C209" t="s">
        <v>70</v>
      </c>
      <c r="D209" t="s">
        <v>71</v>
      </c>
      <c r="E209" t="s">
        <v>72</v>
      </c>
      <c r="F209" t="s">
        <v>43</v>
      </c>
      <c r="G209" t="s">
        <v>77</v>
      </c>
      <c r="H209" t="s">
        <v>78</v>
      </c>
      <c r="I209" s="17">
        <v>2</v>
      </c>
      <c r="J209" s="7">
        <v>21000</v>
      </c>
      <c r="K209" s="8">
        <v>0.1</v>
      </c>
      <c r="L209" s="7">
        <v>37800</v>
      </c>
      <c r="M209" s="7">
        <f>CleanSalesTable[[#This Row],[Sales Amount]]-CleanSalesTable[[#This Row],[Unit Price]]</f>
        <v>16800</v>
      </c>
      <c r="N209" t="s">
        <v>50</v>
      </c>
      <c r="O209" t="s">
        <v>74</v>
      </c>
      <c r="P209" t="str">
        <f t="shared" si="9"/>
        <v>Medium</v>
      </c>
      <c r="Q209" t="str">
        <f t="shared" si="10"/>
        <v>Profit</v>
      </c>
      <c r="R209" s="9" t="str">
        <f t="shared" si="11"/>
        <v>Apr</v>
      </c>
    </row>
    <row r="210" spans="1:18" x14ac:dyDescent="0.25">
      <c r="A210" s="5" t="s">
        <v>291</v>
      </c>
      <c r="B210" s="16">
        <v>45691</v>
      </c>
      <c r="C210" t="s">
        <v>61</v>
      </c>
      <c r="D210" t="s">
        <v>35</v>
      </c>
      <c r="E210" t="s">
        <v>36</v>
      </c>
      <c r="F210" t="s">
        <v>29</v>
      </c>
      <c r="G210" t="s">
        <v>30</v>
      </c>
      <c r="H210" t="s">
        <v>37</v>
      </c>
      <c r="I210" s="17">
        <v>2</v>
      </c>
      <c r="J210" s="7">
        <v>2800</v>
      </c>
      <c r="K210" s="8">
        <v>0.05</v>
      </c>
      <c r="L210" s="7">
        <v>5320</v>
      </c>
      <c r="M210" s="7">
        <f>CleanSalesTable[[#This Row],[Sales Amount]]-CleanSalesTable[[#This Row],[Unit Price]]</f>
        <v>2520</v>
      </c>
      <c r="N210" t="s">
        <v>58</v>
      </c>
      <c r="O210" t="s">
        <v>32</v>
      </c>
      <c r="P210" t="str">
        <f t="shared" si="9"/>
        <v>Low</v>
      </c>
      <c r="Q210" t="str">
        <f t="shared" si="10"/>
        <v>Profit</v>
      </c>
      <c r="R210" s="9" t="str">
        <f t="shared" si="11"/>
        <v>Feb</v>
      </c>
    </row>
    <row r="211" spans="1:18" x14ac:dyDescent="0.25">
      <c r="A211" s="5" t="s">
        <v>292</v>
      </c>
      <c r="B211" s="16">
        <v>45750</v>
      </c>
      <c r="C211" t="s">
        <v>94</v>
      </c>
      <c r="D211" t="s">
        <v>81</v>
      </c>
      <c r="E211" t="s">
        <v>72</v>
      </c>
      <c r="F211" t="s">
        <v>43</v>
      </c>
      <c r="G211" t="s">
        <v>21</v>
      </c>
      <c r="H211" t="s">
        <v>82</v>
      </c>
      <c r="I211" s="17">
        <v>1</v>
      </c>
      <c r="J211" s="7">
        <v>900</v>
      </c>
      <c r="K211" s="8">
        <v>0.1</v>
      </c>
      <c r="L211" s="7">
        <v>810</v>
      </c>
      <c r="M211" s="7">
        <f>CleanSalesTable[[#This Row],[Sales Amount]]-CleanSalesTable[[#This Row],[Unit Price]]</f>
        <v>-90</v>
      </c>
      <c r="N211" t="s">
        <v>23</v>
      </c>
      <c r="O211" t="s">
        <v>39</v>
      </c>
      <c r="P211" t="str">
        <f t="shared" si="9"/>
        <v>Low</v>
      </c>
      <c r="Q211" t="str">
        <f t="shared" si="10"/>
        <v>Loss</v>
      </c>
      <c r="R211" s="9" t="str">
        <f t="shared" si="11"/>
        <v>Apr</v>
      </c>
    </row>
    <row r="212" spans="1:18" x14ac:dyDescent="0.25">
      <c r="A212" s="5" t="s">
        <v>293</v>
      </c>
      <c r="B212" s="16">
        <v>45939</v>
      </c>
      <c r="C212" t="s">
        <v>70</v>
      </c>
      <c r="D212" t="s">
        <v>27</v>
      </c>
      <c r="E212" t="s">
        <v>28</v>
      </c>
      <c r="F212" t="s">
        <v>29</v>
      </c>
      <c r="G212" t="s">
        <v>48</v>
      </c>
      <c r="H212" t="s">
        <v>105</v>
      </c>
      <c r="I212" s="17">
        <v>2</v>
      </c>
      <c r="J212" s="7">
        <v>21000</v>
      </c>
      <c r="K212" s="8">
        <v>0</v>
      </c>
      <c r="L212" s="7">
        <v>42000</v>
      </c>
      <c r="M212" s="7">
        <f>CleanSalesTable[[#This Row],[Sales Amount]]-CleanSalesTable[[#This Row],[Unit Price]]</f>
        <v>21000</v>
      </c>
      <c r="N212" t="s">
        <v>50</v>
      </c>
      <c r="O212" t="s">
        <v>51</v>
      </c>
      <c r="P212" t="str">
        <f t="shared" si="9"/>
        <v>Medium</v>
      </c>
      <c r="Q212" t="str">
        <f t="shared" si="10"/>
        <v>Profit</v>
      </c>
      <c r="R212" s="9" t="str">
        <f t="shared" si="11"/>
        <v>Oct</v>
      </c>
    </row>
    <row r="213" spans="1:18" x14ac:dyDescent="0.25">
      <c r="A213" s="5" t="s">
        <v>294</v>
      </c>
      <c r="B213" s="16">
        <v>45922</v>
      </c>
      <c r="C213" t="s">
        <v>61</v>
      </c>
      <c r="D213" t="s">
        <v>92</v>
      </c>
      <c r="E213" t="s">
        <v>42</v>
      </c>
      <c r="F213" t="s">
        <v>43</v>
      </c>
      <c r="G213" t="s">
        <v>54</v>
      </c>
      <c r="H213" t="s">
        <v>68</v>
      </c>
      <c r="I213" s="17">
        <v>4</v>
      </c>
      <c r="J213" s="7">
        <v>52000</v>
      </c>
      <c r="K213" s="8">
        <v>0</v>
      </c>
      <c r="L213" s="7">
        <v>208000</v>
      </c>
      <c r="M213" s="7">
        <f>CleanSalesTable[[#This Row],[Sales Amount]]-CleanSalesTable[[#This Row],[Unit Price]]</f>
        <v>156000</v>
      </c>
      <c r="N213" t="s">
        <v>23</v>
      </c>
      <c r="O213" t="s">
        <v>74</v>
      </c>
      <c r="P213" t="str">
        <f t="shared" si="9"/>
        <v>High</v>
      </c>
      <c r="Q213" t="str">
        <f t="shared" si="10"/>
        <v>Profit</v>
      </c>
      <c r="R213" s="9" t="str">
        <f t="shared" si="11"/>
        <v>Sep</v>
      </c>
    </row>
    <row r="214" spans="1:18" x14ac:dyDescent="0.25">
      <c r="A214" s="5" t="s">
        <v>295</v>
      </c>
      <c r="B214" s="16">
        <v>45840</v>
      </c>
      <c r="C214" t="s">
        <v>94</v>
      </c>
      <c r="D214" t="s">
        <v>47</v>
      </c>
      <c r="E214" t="s">
        <v>19</v>
      </c>
      <c r="F214" t="s">
        <v>20</v>
      </c>
      <c r="G214" t="s">
        <v>48</v>
      </c>
      <c r="H214" t="s">
        <v>49</v>
      </c>
      <c r="I214" s="17">
        <v>2</v>
      </c>
      <c r="J214" s="7">
        <v>13500</v>
      </c>
      <c r="K214" s="8">
        <v>0.05</v>
      </c>
      <c r="L214" s="7">
        <v>25650</v>
      </c>
      <c r="M214" s="7">
        <f>CleanSalesTable[[#This Row],[Sales Amount]]-CleanSalesTable[[#This Row],[Unit Price]]</f>
        <v>12150</v>
      </c>
      <c r="N214" t="s">
        <v>38</v>
      </c>
      <c r="O214" t="s">
        <v>97</v>
      </c>
      <c r="P214" t="str">
        <f t="shared" si="9"/>
        <v>Low</v>
      </c>
      <c r="Q214" t="str">
        <f t="shared" si="10"/>
        <v>Profit</v>
      </c>
      <c r="R214" s="9" t="str">
        <f t="shared" si="11"/>
        <v>Jul</v>
      </c>
    </row>
    <row r="215" spans="1:18" x14ac:dyDescent="0.25">
      <c r="A215" s="5" t="s">
        <v>296</v>
      </c>
      <c r="B215" s="16">
        <v>45679</v>
      </c>
      <c r="C215" t="s">
        <v>94</v>
      </c>
      <c r="D215" t="s">
        <v>62</v>
      </c>
      <c r="E215" t="s">
        <v>28</v>
      </c>
      <c r="F215" t="s">
        <v>29</v>
      </c>
      <c r="G215" t="s">
        <v>21</v>
      </c>
      <c r="H215" t="s">
        <v>44</v>
      </c>
      <c r="I215" s="17">
        <v>1</v>
      </c>
      <c r="J215" s="7">
        <v>1200</v>
      </c>
      <c r="K215" s="8">
        <v>0.05</v>
      </c>
      <c r="L215" s="7">
        <v>1140</v>
      </c>
      <c r="M215" s="7">
        <f>CleanSalesTable[[#This Row],[Sales Amount]]-CleanSalesTable[[#This Row],[Unit Price]]</f>
        <v>-60</v>
      </c>
      <c r="N215" t="s">
        <v>23</v>
      </c>
      <c r="O215" t="s">
        <v>39</v>
      </c>
      <c r="P215" t="str">
        <f t="shared" si="9"/>
        <v>Low</v>
      </c>
      <c r="Q215" t="str">
        <f t="shared" si="10"/>
        <v>Loss</v>
      </c>
      <c r="R215" s="9" t="str">
        <f t="shared" si="11"/>
        <v>Jan</v>
      </c>
    </row>
    <row r="216" spans="1:18" x14ac:dyDescent="0.25">
      <c r="A216" s="5" t="s">
        <v>297</v>
      </c>
      <c r="B216" s="16">
        <v>45908</v>
      </c>
      <c r="C216" t="s">
        <v>34</v>
      </c>
      <c r="D216" t="s">
        <v>67</v>
      </c>
      <c r="E216" t="s">
        <v>36</v>
      </c>
      <c r="F216" t="s">
        <v>29</v>
      </c>
      <c r="G216" t="s">
        <v>48</v>
      </c>
      <c r="H216" t="s">
        <v>90</v>
      </c>
      <c r="I216" s="17">
        <v>4</v>
      </c>
      <c r="J216" s="7">
        <v>14500</v>
      </c>
      <c r="K216" s="8">
        <v>0</v>
      </c>
      <c r="L216" s="7">
        <v>58000</v>
      </c>
      <c r="M216" s="7">
        <f>CleanSalesTable[[#This Row],[Sales Amount]]-CleanSalesTable[[#This Row],[Unit Price]]</f>
        <v>43500</v>
      </c>
      <c r="N216" t="s">
        <v>50</v>
      </c>
      <c r="O216" t="s">
        <v>51</v>
      </c>
      <c r="P216" t="str">
        <f t="shared" si="9"/>
        <v>Medium</v>
      </c>
      <c r="Q216" t="str">
        <f t="shared" si="10"/>
        <v>Profit</v>
      </c>
      <c r="R216" s="9" t="str">
        <f t="shared" si="11"/>
        <v>Sep</v>
      </c>
    </row>
    <row r="217" spans="1:18" x14ac:dyDescent="0.25">
      <c r="A217" s="5" t="s">
        <v>298</v>
      </c>
      <c r="B217" s="16">
        <v>45729</v>
      </c>
      <c r="C217" t="s">
        <v>84</v>
      </c>
      <c r="D217" t="s">
        <v>71</v>
      </c>
      <c r="E217" t="s">
        <v>72</v>
      </c>
      <c r="F217" t="s">
        <v>43</v>
      </c>
      <c r="G217" t="s">
        <v>30</v>
      </c>
      <c r="H217" t="s">
        <v>37</v>
      </c>
      <c r="I217" s="17">
        <v>1</v>
      </c>
      <c r="J217" s="7">
        <v>2800</v>
      </c>
      <c r="K217" s="8">
        <v>0</v>
      </c>
      <c r="L217" s="7">
        <v>2800</v>
      </c>
      <c r="M217" s="7">
        <f>CleanSalesTable[[#This Row],[Sales Amount]]-CleanSalesTable[[#This Row],[Unit Price]]</f>
        <v>0</v>
      </c>
      <c r="N217" t="s">
        <v>38</v>
      </c>
      <c r="O217" t="s">
        <v>24</v>
      </c>
      <c r="P217" t="str">
        <f t="shared" si="9"/>
        <v>Low</v>
      </c>
      <c r="Q217" t="str">
        <f t="shared" si="10"/>
        <v>Loss</v>
      </c>
      <c r="R217" s="9" t="str">
        <f t="shared" si="11"/>
        <v>Mar</v>
      </c>
    </row>
    <row r="218" spans="1:18" x14ac:dyDescent="0.25">
      <c r="A218" s="5" t="s">
        <v>299</v>
      </c>
      <c r="B218" s="16">
        <v>45936</v>
      </c>
      <c r="C218" t="s">
        <v>53</v>
      </c>
      <c r="D218" t="s">
        <v>47</v>
      </c>
      <c r="E218" t="s">
        <v>19</v>
      </c>
      <c r="F218" t="s">
        <v>20</v>
      </c>
      <c r="G218" t="s">
        <v>48</v>
      </c>
      <c r="H218" t="s">
        <v>90</v>
      </c>
      <c r="I218" s="17">
        <v>2</v>
      </c>
      <c r="J218" s="7">
        <v>14500</v>
      </c>
      <c r="K218" s="8">
        <v>0</v>
      </c>
      <c r="L218" s="7">
        <v>29000</v>
      </c>
      <c r="M218" s="7">
        <f>CleanSalesTable[[#This Row],[Sales Amount]]-CleanSalesTable[[#This Row],[Unit Price]]</f>
        <v>14500</v>
      </c>
      <c r="N218" t="s">
        <v>73</v>
      </c>
      <c r="O218" t="s">
        <v>97</v>
      </c>
      <c r="P218" t="str">
        <f t="shared" si="9"/>
        <v>Low</v>
      </c>
      <c r="Q218" t="str">
        <f t="shared" si="10"/>
        <v>Profit</v>
      </c>
      <c r="R218" s="9" t="str">
        <f t="shared" si="11"/>
        <v>Oct</v>
      </c>
    </row>
    <row r="219" spans="1:18" x14ac:dyDescent="0.25">
      <c r="A219" s="5" t="s">
        <v>300</v>
      </c>
      <c r="B219" s="16">
        <v>45685</v>
      </c>
      <c r="C219" t="s">
        <v>17</v>
      </c>
      <c r="D219" t="s">
        <v>41</v>
      </c>
      <c r="E219" t="s">
        <v>42</v>
      </c>
      <c r="F219" t="s">
        <v>43</v>
      </c>
      <c r="G219" t="s">
        <v>54</v>
      </c>
      <c r="H219" t="s">
        <v>55</v>
      </c>
      <c r="I219" s="17">
        <v>2</v>
      </c>
      <c r="J219" s="7">
        <v>58000</v>
      </c>
      <c r="K219" s="8">
        <v>0</v>
      </c>
      <c r="L219" s="7">
        <v>116000</v>
      </c>
      <c r="M219" s="7">
        <f>CleanSalesTable[[#This Row],[Sales Amount]]-CleanSalesTable[[#This Row],[Unit Price]]</f>
        <v>58000</v>
      </c>
      <c r="N219" t="s">
        <v>23</v>
      </c>
      <c r="O219" t="s">
        <v>51</v>
      </c>
      <c r="P219" t="str">
        <f t="shared" si="9"/>
        <v>High</v>
      </c>
      <c r="Q219" t="str">
        <f t="shared" si="10"/>
        <v>Profit</v>
      </c>
      <c r="R219" s="9" t="str">
        <f t="shared" si="11"/>
        <v>Jan</v>
      </c>
    </row>
    <row r="220" spans="1:18" x14ac:dyDescent="0.25">
      <c r="A220" s="5" t="s">
        <v>301</v>
      </c>
      <c r="B220" s="16">
        <v>45878</v>
      </c>
      <c r="C220" t="s">
        <v>46</v>
      </c>
      <c r="D220" t="s">
        <v>95</v>
      </c>
      <c r="E220" t="s">
        <v>87</v>
      </c>
      <c r="F220" t="s">
        <v>20</v>
      </c>
      <c r="G220" t="s">
        <v>21</v>
      </c>
      <c r="H220" t="s">
        <v>44</v>
      </c>
      <c r="I220" s="17">
        <v>2</v>
      </c>
      <c r="J220" s="7">
        <v>1200</v>
      </c>
      <c r="K220" s="8">
        <v>0.05</v>
      </c>
      <c r="L220" s="7">
        <v>2280</v>
      </c>
      <c r="M220" s="7">
        <f>CleanSalesTable[[#This Row],[Sales Amount]]-CleanSalesTable[[#This Row],[Unit Price]]</f>
        <v>1080</v>
      </c>
      <c r="N220" t="s">
        <v>50</v>
      </c>
      <c r="O220" t="s">
        <v>59</v>
      </c>
      <c r="P220" t="str">
        <f t="shared" si="9"/>
        <v>Low</v>
      </c>
      <c r="Q220" t="str">
        <f t="shared" si="10"/>
        <v>Profit</v>
      </c>
      <c r="R220" s="9" t="str">
        <f t="shared" si="11"/>
        <v>Aug</v>
      </c>
    </row>
    <row r="221" spans="1:18" x14ac:dyDescent="0.25">
      <c r="A221" s="5" t="s">
        <v>302</v>
      </c>
      <c r="B221" s="16">
        <v>45942</v>
      </c>
      <c r="C221" t="s">
        <v>84</v>
      </c>
      <c r="D221" t="s">
        <v>81</v>
      </c>
      <c r="E221" t="s">
        <v>72</v>
      </c>
      <c r="F221" t="s">
        <v>43</v>
      </c>
      <c r="G221" t="s">
        <v>21</v>
      </c>
      <c r="H221" t="s">
        <v>82</v>
      </c>
      <c r="I221" s="17">
        <v>2</v>
      </c>
      <c r="J221" s="7">
        <v>900</v>
      </c>
      <c r="K221" s="8">
        <v>0</v>
      </c>
      <c r="L221" s="7">
        <v>1800</v>
      </c>
      <c r="M221" s="7">
        <f>CleanSalesTable[[#This Row],[Sales Amount]]-CleanSalesTable[[#This Row],[Unit Price]]</f>
        <v>900</v>
      </c>
      <c r="N221" t="s">
        <v>23</v>
      </c>
      <c r="O221" t="s">
        <v>59</v>
      </c>
      <c r="P221" t="str">
        <f t="shared" si="9"/>
        <v>Low</v>
      </c>
      <c r="Q221" t="str">
        <f t="shared" si="10"/>
        <v>Profit</v>
      </c>
      <c r="R221" s="9" t="str">
        <f t="shared" si="11"/>
        <v>Oct</v>
      </c>
    </row>
    <row r="222" spans="1:18" x14ac:dyDescent="0.25">
      <c r="A222" s="5" t="s">
        <v>303</v>
      </c>
      <c r="B222" s="16">
        <v>45757</v>
      </c>
      <c r="C222" t="s">
        <v>61</v>
      </c>
      <c r="D222" t="s">
        <v>89</v>
      </c>
      <c r="E222" t="s">
        <v>87</v>
      </c>
      <c r="F222" t="s">
        <v>20</v>
      </c>
      <c r="G222" t="s">
        <v>21</v>
      </c>
      <c r="H222" t="s">
        <v>82</v>
      </c>
      <c r="I222" s="17">
        <v>1</v>
      </c>
      <c r="J222" s="7">
        <v>900</v>
      </c>
      <c r="K222" s="8">
        <v>0.15</v>
      </c>
      <c r="L222" s="7">
        <v>765</v>
      </c>
      <c r="M222" s="7">
        <f>CleanSalesTable[[#This Row],[Sales Amount]]-CleanSalesTable[[#This Row],[Unit Price]]</f>
        <v>-135</v>
      </c>
      <c r="N222" t="s">
        <v>38</v>
      </c>
      <c r="O222" t="s">
        <v>39</v>
      </c>
      <c r="P222" t="str">
        <f t="shared" si="9"/>
        <v>Low</v>
      </c>
      <c r="Q222" t="str">
        <f t="shared" si="10"/>
        <v>Loss</v>
      </c>
      <c r="R222" s="9" t="str">
        <f t="shared" si="11"/>
        <v>Apr</v>
      </c>
    </row>
    <row r="223" spans="1:18" x14ac:dyDescent="0.25">
      <c r="A223" s="5" t="s">
        <v>304</v>
      </c>
      <c r="B223" s="16">
        <v>45970</v>
      </c>
      <c r="C223" t="s">
        <v>84</v>
      </c>
      <c r="D223" t="s">
        <v>67</v>
      </c>
      <c r="E223" t="s">
        <v>36</v>
      </c>
      <c r="F223" t="s">
        <v>29</v>
      </c>
      <c r="G223" t="s">
        <v>30</v>
      </c>
      <c r="H223" t="s">
        <v>37</v>
      </c>
      <c r="I223" s="17">
        <v>1</v>
      </c>
      <c r="J223" s="7">
        <v>2800</v>
      </c>
      <c r="K223" s="8">
        <v>0.15</v>
      </c>
      <c r="L223" s="7">
        <v>2380</v>
      </c>
      <c r="M223" s="7">
        <f>CleanSalesTable[[#This Row],[Sales Amount]]-CleanSalesTable[[#This Row],[Unit Price]]</f>
        <v>-420</v>
      </c>
      <c r="N223" t="s">
        <v>58</v>
      </c>
      <c r="O223" t="s">
        <v>39</v>
      </c>
      <c r="P223" t="str">
        <f t="shared" si="9"/>
        <v>Low</v>
      </c>
      <c r="Q223" t="str">
        <f t="shared" si="10"/>
        <v>Loss</v>
      </c>
      <c r="R223" s="9" t="str">
        <f t="shared" si="11"/>
        <v>Nov</v>
      </c>
    </row>
    <row r="224" spans="1:18" x14ac:dyDescent="0.25">
      <c r="A224" s="5" t="s">
        <v>305</v>
      </c>
      <c r="B224" s="16">
        <v>45732</v>
      </c>
      <c r="C224" t="s">
        <v>118</v>
      </c>
      <c r="D224" t="s">
        <v>76</v>
      </c>
      <c r="E224" t="s">
        <v>42</v>
      </c>
      <c r="F224" t="s">
        <v>43</v>
      </c>
      <c r="G224" t="s">
        <v>77</v>
      </c>
      <c r="H224" t="s">
        <v>78</v>
      </c>
      <c r="I224" s="17">
        <v>2</v>
      </c>
      <c r="J224" s="7">
        <v>21000</v>
      </c>
      <c r="K224" s="8">
        <v>0.15</v>
      </c>
      <c r="L224" s="7">
        <v>35700</v>
      </c>
      <c r="M224" s="7">
        <f>CleanSalesTable[[#This Row],[Sales Amount]]-CleanSalesTable[[#This Row],[Unit Price]]</f>
        <v>14700</v>
      </c>
      <c r="N224" t="s">
        <v>73</v>
      </c>
      <c r="O224" t="s">
        <v>51</v>
      </c>
      <c r="P224" t="str">
        <f t="shared" si="9"/>
        <v>Medium</v>
      </c>
      <c r="Q224" t="str">
        <f t="shared" si="10"/>
        <v>Profit</v>
      </c>
      <c r="R224" s="9" t="str">
        <f t="shared" si="11"/>
        <v>Mar</v>
      </c>
    </row>
    <row r="225" spans="1:18" x14ac:dyDescent="0.25">
      <c r="A225" s="5" t="s">
        <v>306</v>
      </c>
      <c r="B225" s="16">
        <v>45741</v>
      </c>
      <c r="C225" t="s">
        <v>94</v>
      </c>
      <c r="D225" t="s">
        <v>47</v>
      </c>
      <c r="E225" t="s">
        <v>19</v>
      </c>
      <c r="F225" t="s">
        <v>20</v>
      </c>
      <c r="G225" t="s">
        <v>77</v>
      </c>
      <c r="H225" t="s">
        <v>78</v>
      </c>
      <c r="I225" s="17">
        <v>2</v>
      </c>
      <c r="J225" s="7">
        <v>21000</v>
      </c>
      <c r="K225" s="8">
        <v>0.15</v>
      </c>
      <c r="L225" s="7">
        <v>35700</v>
      </c>
      <c r="M225" s="7">
        <f>CleanSalesTable[[#This Row],[Sales Amount]]-CleanSalesTable[[#This Row],[Unit Price]]</f>
        <v>14700</v>
      </c>
      <c r="N225" t="s">
        <v>38</v>
      </c>
      <c r="O225" t="s">
        <v>32</v>
      </c>
      <c r="P225" t="str">
        <f t="shared" si="9"/>
        <v>Medium</v>
      </c>
      <c r="Q225" t="str">
        <f t="shared" si="10"/>
        <v>Profit</v>
      </c>
      <c r="R225" s="9" t="str">
        <f t="shared" si="11"/>
        <v>Mar</v>
      </c>
    </row>
    <row r="226" spans="1:18" x14ac:dyDescent="0.25">
      <c r="A226" s="5" t="s">
        <v>307</v>
      </c>
      <c r="B226" s="16">
        <v>45664</v>
      </c>
      <c r="C226" t="s">
        <v>17</v>
      </c>
      <c r="D226" t="s">
        <v>138</v>
      </c>
      <c r="E226" t="s">
        <v>28</v>
      </c>
      <c r="F226" t="s">
        <v>29</v>
      </c>
      <c r="G226" t="s">
        <v>77</v>
      </c>
      <c r="H226" t="s">
        <v>99</v>
      </c>
      <c r="I226" s="17">
        <v>4</v>
      </c>
      <c r="J226" s="7">
        <v>24000</v>
      </c>
      <c r="K226" s="8">
        <v>0.15</v>
      </c>
      <c r="L226" s="7">
        <v>81600</v>
      </c>
      <c r="M226" s="7">
        <f>CleanSalesTable[[#This Row],[Sales Amount]]-CleanSalesTable[[#This Row],[Unit Price]]</f>
        <v>57600</v>
      </c>
      <c r="N226" t="s">
        <v>23</v>
      </c>
      <c r="O226" t="s">
        <v>59</v>
      </c>
      <c r="P226" t="str">
        <f t="shared" si="9"/>
        <v>Medium</v>
      </c>
      <c r="Q226" t="str">
        <f t="shared" si="10"/>
        <v>Profit</v>
      </c>
      <c r="R226" s="9" t="str">
        <f t="shared" si="11"/>
        <v>Jan</v>
      </c>
    </row>
    <row r="227" spans="1:18" x14ac:dyDescent="0.25">
      <c r="A227" s="5" t="s">
        <v>308</v>
      </c>
      <c r="B227" s="16">
        <v>45875</v>
      </c>
      <c r="C227" t="s">
        <v>118</v>
      </c>
      <c r="D227" t="s">
        <v>104</v>
      </c>
      <c r="E227" t="s">
        <v>19</v>
      </c>
      <c r="F227" t="s">
        <v>20</v>
      </c>
      <c r="G227" t="s">
        <v>54</v>
      </c>
      <c r="H227" t="s">
        <v>63</v>
      </c>
      <c r="I227" s="17">
        <v>1</v>
      </c>
      <c r="J227" s="7">
        <v>61000</v>
      </c>
      <c r="K227" s="8">
        <v>0.15</v>
      </c>
      <c r="L227" s="7">
        <v>51850</v>
      </c>
      <c r="M227" s="7">
        <f>CleanSalesTable[[#This Row],[Sales Amount]]-CleanSalesTable[[#This Row],[Unit Price]]</f>
        <v>-9150</v>
      </c>
      <c r="N227" t="s">
        <v>50</v>
      </c>
      <c r="O227" t="s">
        <v>74</v>
      </c>
      <c r="P227" t="str">
        <f t="shared" si="9"/>
        <v>Medium</v>
      </c>
      <c r="Q227" t="str">
        <f t="shared" si="10"/>
        <v>Loss</v>
      </c>
      <c r="R227" s="9" t="str">
        <f t="shared" si="11"/>
        <v>Aug</v>
      </c>
    </row>
    <row r="228" spans="1:18" x14ac:dyDescent="0.25">
      <c r="A228" s="5" t="s">
        <v>309</v>
      </c>
      <c r="B228" s="16">
        <v>45756</v>
      </c>
      <c r="C228" t="s">
        <v>61</v>
      </c>
      <c r="D228" t="s">
        <v>27</v>
      </c>
      <c r="E228" t="s">
        <v>28</v>
      </c>
      <c r="F228" t="s">
        <v>29</v>
      </c>
      <c r="G228" t="s">
        <v>21</v>
      </c>
      <c r="H228" t="s">
        <v>82</v>
      </c>
      <c r="I228" s="17">
        <v>3</v>
      </c>
      <c r="J228" s="7">
        <v>900</v>
      </c>
      <c r="K228" s="8">
        <v>0</v>
      </c>
      <c r="L228" s="7">
        <v>2700</v>
      </c>
      <c r="M228" s="7">
        <f>CleanSalesTable[[#This Row],[Sales Amount]]-CleanSalesTable[[#This Row],[Unit Price]]</f>
        <v>1800</v>
      </c>
      <c r="N228" t="s">
        <v>38</v>
      </c>
      <c r="O228" t="s">
        <v>97</v>
      </c>
      <c r="P228" t="str">
        <f t="shared" si="9"/>
        <v>Low</v>
      </c>
      <c r="Q228" t="str">
        <f t="shared" si="10"/>
        <v>Profit</v>
      </c>
      <c r="R228" s="9" t="str">
        <f t="shared" si="11"/>
        <v>Apr</v>
      </c>
    </row>
    <row r="229" spans="1:18" x14ac:dyDescent="0.25">
      <c r="A229" s="5" t="s">
        <v>310</v>
      </c>
      <c r="B229" s="16">
        <v>45945</v>
      </c>
      <c r="C229" t="s">
        <v>53</v>
      </c>
      <c r="D229" t="s">
        <v>110</v>
      </c>
      <c r="E229" t="s">
        <v>72</v>
      </c>
      <c r="F229" t="s">
        <v>43</v>
      </c>
      <c r="G229" t="s">
        <v>77</v>
      </c>
      <c r="H229" t="s">
        <v>111</v>
      </c>
      <c r="I229" s="17">
        <v>2</v>
      </c>
      <c r="J229" s="7">
        <v>29000</v>
      </c>
      <c r="K229" s="8">
        <v>0.1</v>
      </c>
      <c r="L229" s="7">
        <v>52200</v>
      </c>
      <c r="M229" s="7">
        <f>CleanSalesTable[[#This Row],[Sales Amount]]-CleanSalesTable[[#This Row],[Unit Price]]</f>
        <v>23200</v>
      </c>
      <c r="N229" t="s">
        <v>73</v>
      </c>
      <c r="O229" t="s">
        <v>32</v>
      </c>
      <c r="P229" t="str">
        <f t="shared" si="9"/>
        <v>Medium</v>
      </c>
      <c r="Q229" t="str">
        <f t="shared" si="10"/>
        <v>Profit</v>
      </c>
      <c r="R229" s="9" t="str">
        <f t="shared" si="11"/>
        <v>Oct</v>
      </c>
    </row>
    <row r="230" spans="1:18" x14ac:dyDescent="0.25">
      <c r="A230" s="5" t="s">
        <v>311</v>
      </c>
      <c r="B230" s="16">
        <v>45679</v>
      </c>
      <c r="C230" t="s">
        <v>46</v>
      </c>
      <c r="D230" t="s">
        <v>138</v>
      </c>
      <c r="E230" t="s">
        <v>28</v>
      </c>
      <c r="F230" t="s">
        <v>29</v>
      </c>
      <c r="G230" t="s">
        <v>21</v>
      </c>
      <c r="H230" t="s">
        <v>82</v>
      </c>
      <c r="I230" s="17">
        <v>2</v>
      </c>
      <c r="J230" s="7">
        <v>900</v>
      </c>
      <c r="K230" s="8">
        <v>0</v>
      </c>
      <c r="L230" s="7">
        <v>1800</v>
      </c>
      <c r="M230" s="7">
        <f>CleanSalesTable[[#This Row],[Sales Amount]]-CleanSalesTable[[#This Row],[Unit Price]]</f>
        <v>900</v>
      </c>
      <c r="N230" t="s">
        <v>50</v>
      </c>
      <c r="O230" t="s">
        <v>51</v>
      </c>
      <c r="P230" t="str">
        <f t="shared" si="9"/>
        <v>Low</v>
      </c>
      <c r="Q230" t="str">
        <f t="shared" si="10"/>
        <v>Profit</v>
      </c>
      <c r="R230" s="9" t="str">
        <f t="shared" si="11"/>
        <v>Jan</v>
      </c>
    </row>
    <row r="231" spans="1:18" x14ac:dyDescent="0.25">
      <c r="A231" s="5" t="s">
        <v>312</v>
      </c>
      <c r="B231" s="16">
        <v>45877</v>
      </c>
      <c r="C231" t="s">
        <v>34</v>
      </c>
      <c r="D231" t="s">
        <v>47</v>
      </c>
      <c r="E231" t="s">
        <v>19</v>
      </c>
      <c r="F231" t="s">
        <v>20</v>
      </c>
      <c r="G231" t="s">
        <v>21</v>
      </c>
      <c r="H231" t="s">
        <v>82</v>
      </c>
      <c r="I231" s="17">
        <v>3</v>
      </c>
      <c r="J231" s="7">
        <v>900</v>
      </c>
      <c r="K231" s="8">
        <v>0.05</v>
      </c>
      <c r="L231" s="7">
        <v>2565</v>
      </c>
      <c r="M231" s="7">
        <f>CleanSalesTable[[#This Row],[Sales Amount]]-CleanSalesTable[[#This Row],[Unit Price]]</f>
        <v>1665</v>
      </c>
      <c r="N231" t="s">
        <v>23</v>
      </c>
      <c r="O231" t="s">
        <v>59</v>
      </c>
      <c r="P231" t="str">
        <f t="shared" si="9"/>
        <v>Low</v>
      </c>
      <c r="Q231" t="str">
        <f t="shared" si="10"/>
        <v>Profit</v>
      </c>
      <c r="R231" s="9" t="str">
        <f t="shared" si="11"/>
        <v>Aug</v>
      </c>
    </row>
    <row r="232" spans="1:18" x14ac:dyDescent="0.25">
      <c r="A232" s="5" t="s">
        <v>313</v>
      </c>
      <c r="B232" s="16">
        <v>45849</v>
      </c>
      <c r="C232" t="s">
        <v>34</v>
      </c>
      <c r="D232" t="s">
        <v>35</v>
      </c>
      <c r="E232" t="s">
        <v>36</v>
      </c>
      <c r="F232" t="s">
        <v>29</v>
      </c>
      <c r="G232" t="s">
        <v>77</v>
      </c>
      <c r="H232" t="s">
        <v>78</v>
      </c>
      <c r="I232" s="17">
        <v>4</v>
      </c>
      <c r="J232" s="7">
        <v>21000</v>
      </c>
      <c r="K232" s="8">
        <v>0</v>
      </c>
      <c r="L232" s="7">
        <v>84000</v>
      </c>
      <c r="M232" s="7">
        <f>CleanSalesTable[[#This Row],[Sales Amount]]-CleanSalesTable[[#This Row],[Unit Price]]</f>
        <v>63000</v>
      </c>
      <c r="N232" t="s">
        <v>38</v>
      </c>
      <c r="O232" t="s">
        <v>39</v>
      </c>
      <c r="P232" t="str">
        <f t="shared" si="9"/>
        <v>Medium</v>
      </c>
      <c r="Q232" t="str">
        <f t="shared" si="10"/>
        <v>Profit</v>
      </c>
      <c r="R232" s="9" t="str">
        <f t="shared" si="11"/>
        <v>Jul</v>
      </c>
    </row>
    <row r="233" spans="1:18" x14ac:dyDescent="0.25">
      <c r="A233" s="5" t="s">
        <v>314</v>
      </c>
      <c r="B233" s="16">
        <v>45822</v>
      </c>
      <c r="C233" t="s">
        <v>70</v>
      </c>
      <c r="D233" t="s">
        <v>138</v>
      </c>
      <c r="E233" t="s">
        <v>28</v>
      </c>
      <c r="F233" t="s">
        <v>29</v>
      </c>
      <c r="G233" t="s">
        <v>21</v>
      </c>
      <c r="H233" t="s">
        <v>82</v>
      </c>
      <c r="I233" s="17">
        <v>3</v>
      </c>
      <c r="J233" s="7">
        <v>900</v>
      </c>
      <c r="K233" s="8">
        <v>0.15</v>
      </c>
      <c r="L233" s="7">
        <v>2295</v>
      </c>
      <c r="M233" s="7">
        <f>CleanSalesTable[[#This Row],[Sales Amount]]-CleanSalesTable[[#This Row],[Unit Price]]</f>
        <v>1395</v>
      </c>
      <c r="N233" t="s">
        <v>50</v>
      </c>
      <c r="O233" t="s">
        <v>59</v>
      </c>
      <c r="P233" t="str">
        <f t="shared" si="9"/>
        <v>Low</v>
      </c>
      <c r="Q233" t="str">
        <f t="shared" si="10"/>
        <v>Profit</v>
      </c>
      <c r="R233" s="9" t="str">
        <f t="shared" si="11"/>
        <v>Jun</v>
      </c>
    </row>
    <row r="234" spans="1:18" x14ac:dyDescent="0.25">
      <c r="A234" s="5" t="s">
        <v>315</v>
      </c>
      <c r="B234" s="16">
        <v>45722</v>
      </c>
      <c r="C234" t="s">
        <v>94</v>
      </c>
      <c r="D234" t="s">
        <v>92</v>
      </c>
      <c r="E234" t="s">
        <v>42</v>
      </c>
      <c r="F234" t="s">
        <v>43</v>
      </c>
      <c r="G234" t="s">
        <v>54</v>
      </c>
      <c r="H234" t="s">
        <v>63</v>
      </c>
      <c r="I234" s="17">
        <v>4</v>
      </c>
      <c r="J234" s="7">
        <v>61000</v>
      </c>
      <c r="K234" s="8">
        <v>0.1</v>
      </c>
      <c r="L234" s="7">
        <v>219600</v>
      </c>
      <c r="M234" s="7">
        <f>CleanSalesTable[[#This Row],[Sales Amount]]-CleanSalesTable[[#This Row],[Unit Price]]</f>
        <v>158600</v>
      </c>
      <c r="N234" t="s">
        <v>23</v>
      </c>
      <c r="O234" t="s">
        <v>32</v>
      </c>
      <c r="P234" t="str">
        <f t="shared" si="9"/>
        <v>High</v>
      </c>
      <c r="Q234" t="str">
        <f t="shared" si="10"/>
        <v>Profit</v>
      </c>
      <c r="R234" s="9" t="str">
        <f t="shared" si="11"/>
        <v>Mar</v>
      </c>
    </row>
    <row r="235" spans="1:18" x14ac:dyDescent="0.25">
      <c r="A235" s="5" t="s">
        <v>316</v>
      </c>
      <c r="B235" s="16">
        <v>45978</v>
      </c>
      <c r="C235" t="s">
        <v>26</v>
      </c>
      <c r="D235" t="s">
        <v>47</v>
      </c>
      <c r="E235" t="s">
        <v>19</v>
      </c>
      <c r="F235" t="s">
        <v>20</v>
      </c>
      <c r="G235" t="s">
        <v>48</v>
      </c>
      <c r="H235" t="s">
        <v>90</v>
      </c>
      <c r="I235" s="17">
        <v>3</v>
      </c>
      <c r="J235" s="7">
        <v>14500</v>
      </c>
      <c r="K235" s="8">
        <v>0</v>
      </c>
      <c r="L235" s="7">
        <v>43500</v>
      </c>
      <c r="M235" s="7">
        <f>CleanSalesTable[[#This Row],[Sales Amount]]-CleanSalesTable[[#This Row],[Unit Price]]</f>
        <v>29000</v>
      </c>
      <c r="N235" t="s">
        <v>38</v>
      </c>
      <c r="O235" t="s">
        <v>24</v>
      </c>
      <c r="P235" t="str">
        <f t="shared" si="9"/>
        <v>Medium</v>
      </c>
      <c r="Q235" t="str">
        <f t="shared" si="10"/>
        <v>Profit</v>
      </c>
      <c r="R235" s="9" t="str">
        <f t="shared" si="11"/>
        <v>Nov</v>
      </c>
    </row>
    <row r="236" spans="1:18" x14ac:dyDescent="0.25">
      <c r="A236" s="5" t="s">
        <v>317</v>
      </c>
      <c r="B236" s="16">
        <v>45847</v>
      </c>
      <c r="C236" t="s">
        <v>61</v>
      </c>
      <c r="D236" t="s">
        <v>62</v>
      </c>
      <c r="E236" t="s">
        <v>28</v>
      </c>
      <c r="F236" t="s">
        <v>29</v>
      </c>
      <c r="G236" t="s">
        <v>30</v>
      </c>
      <c r="H236" t="s">
        <v>31</v>
      </c>
      <c r="I236" s="17">
        <v>3</v>
      </c>
      <c r="J236" s="7">
        <v>3200</v>
      </c>
      <c r="K236" s="8">
        <v>0</v>
      </c>
      <c r="L236" s="7">
        <v>9600</v>
      </c>
      <c r="M236" s="7">
        <f>CleanSalesTable[[#This Row],[Sales Amount]]-CleanSalesTable[[#This Row],[Unit Price]]</f>
        <v>6400</v>
      </c>
      <c r="N236" t="s">
        <v>23</v>
      </c>
      <c r="O236" t="s">
        <v>39</v>
      </c>
      <c r="P236" t="str">
        <f t="shared" si="9"/>
        <v>Low</v>
      </c>
      <c r="Q236" t="str">
        <f t="shared" si="10"/>
        <v>Profit</v>
      </c>
      <c r="R236" s="9" t="str">
        <f t="shared" si="11"/>
        <v>Jul</v>
      </c>
    </row>
    <row r="237" spans="1:18" x14ac:dyDescent="0.25">
      <c r="A237" s="5" t="s">
        <v>318</v>
      </c>
      <c r="B237" s="16">
        <v>45949</v>
      </c>
      <c r="C237" t="s">
        <v>61</v>
      </c>
      <c r="D237" t="s">
        <v>27</v>
      </c>
      <c r="E237" t="s">
        <v>28</v>
      </c>
      <c r="F237" t="s">
        <v>29</v>
      </c>
      <c r="G237" t="s">
        <v>48</v>
      </c>
      <c r="H237" t="s">
        <v>105</v>
      </c>
      <c r="I237" s="17">
        <v>2</v>
      </c>
      <c r="J237" s="7">
        <v>21000</v>
      </c>
      <c r="K237" s="8">
        <v>0.15</v>
      </c>
      <c r="L237" s="7">
        <v>35700</v>
      </c>
      <c r="M237" s="7">
        <f>CleanSalesTable[[#This Row],[Sales Amount]]-CleanSalesTable[[#This Row],[Unit Price]]</f>
        <v>14700</v>
      </c>
      <c r="N237" t="s">
        <v>58</v>
      </c>
      <c r="O237" t="s">
        <v>97</v>
      </c>
      <c r="P237" t="str">
        <f t="shared" si="9"/>
        <v>Medium</v>
      </c>
      <c r="Q237" t="str">
        <f t="shared" si="10"/>
        <v>Profit</v>
      </c>
      <c r="R237" s="9" t="str">
        <f t="shared" si="11"/>
        <v>Oct</v>
      </c>
    </row>
    <row r="238" spans="1:18" x14ac:dyDescent="0.25">
      <c r="A238" s="5" t="s">
        <v>319</v>
      </c>
      <c r="B238" s="16">
        <v>45968</v>
      </c>
      <c r="C238" t="s">
        <v>61</v>
      </c>
      <c r="D238" t="s">
        <v>27</v>
      </c>
      <c r="E238" t="s">
        <v>28</v>
      </c>
      <c r="F238" t="s">
        <v>29</v>
      </c>
      <c r="G238" t="s">
        <v>21</v>
      </c>
      <c r="H238" t="s">
        <v>44</v>
      </c>
      <c r="I238" s="17">
        <v>1</v>
      </c>
      <c r="J238" s="7">
        <v>1200</v>
      </c>
      <c r="K238" s="8">
        <v>0.1</v>
      </c>
      <c r="L238" s="7">
        <v>1080</v>
      </c>
      <c r="M238" s="7">
        <f>CleanSalesTable[[#This Row],[Sales Amount]]-CleanSalesTable[[#This Row],[Unit Price]]</f>
        <v>-120</v>
      </c>
      <c r="N238" t="s">
        <v>50</v>
      </c>
      <c r="O238" t="s">
        <v>74</v>
      </c>
      <c r="P238" t="str">
        <f t="shared" si="9"/>
        <v>Low</v>
      </c>
      <c r="Q238" t="str">
        <f t="shared" si="10"/>
        <v>Loss</v>
      </c>
      <c r="R238" s="9" t="str">
        <f t="shared" si="11"/>
        <v>Nov</v>
      </c>
    </row>
    <row r="239" spans="1:18" x14ac:dyDescent="0.25">
      <c r="A239" s="5" t="s">
        <v>320</v>
      </c>
      <c r="B239" s="16">
        <v>45966</v>
      </c>
      <c r="C239" t="s">
        <v>53</v>
      </c>
      <c r="D239" t="s">
        <v>62</v>
      </c>
      <c r="E239" t="s">
        <v>28</v>
      </c>
      <c r="F239" t="s">
        <v>29</v>
      </c>
      <c r="G239" t="s">
        <v>54</v>
      </c>
      <c r="H239" t="s">
        <v>68</v>
      </c>
      <c r="I239" s="17">
        <v>1</v>
      </c>
      <c r="J239" s="7">
        <v>52000</v>
      </c>
      <c r="K239" s="8">
        <v>0.15</v>
      </c>
      <c r="L239" s="7">
        <v>44200</v>
      </c>
      <c r="M239" s="7">
        <f>CleanSalesTable[[#This Row],[Sales Amount]]-CleanSalesTable[[#This Row],[Unit Price]]</f>
        <v>-7800</v>
      </c>
      <c r="N239" t="s">
        <v>50</v>
      </c>
      <c r="O239" t="s">
        <v>32</v>
      </c>
      <c r="P239" t="str">
        <f t="shared" si="9"/>
        <v>Medium</v>
      </c>
      <c r="Q239" t="str">
        <f t="shared" si="10"/>
        <v>Loss</v>
      </c>
      <c r="R239" s="9" t="str">
        <f t="shared" si="11"/>
        <v>Nov</v>
      </c>
    </row>
    <row r="240" spans="1:18" x14ac:dyDescent="0.25">
      <c r="A240" s="5" t="s">
        <v>321</v>
      </c>
      <c r="B240" s="16">
        <v>45866</v>
      </c>
      <c r="C240" t="s">
        <v>84</v>
      </c>
      <c r="D240" t="s">
        <v>138</v>
      </c>
      <c r="E240" t="s">
        <v>28</v>
      </c>
      <c r="F240" t="s">
        <v>29</v>
      </c>
      <c r="G240" t="s">
        <v>77</v>
      </c>
      <c r="H240" t="s">
        <v>99</v>
      </c>
      <c r="I240" s="17">
        <v>2</v>
      </c>
      <c r="J240" s="7">
        <v>24000</v>
      </c>
      <c r="K240" s="8">
        <v>0.05</v>
      </c>
      <c r="L240" s="7">
        <v>45600</v>
      </c>
      <c r="M240" s="7">
        <f>CleanSalesTable[[#This Row],[Sales Amount]]-CleanSalesTable[[#This Row],[Unit Price]]</f>
        <v>21600</v>
      </c>
      <c r="N240" t="s">
        <v>50</v>
      </c>
      <c r="O240" t="s">
        <v>59</v>
      </c>
      <c r="P240" t="str">
        <f t="shared" si="9"/>
        <v>Medium</v>
      </c>
      <c r="Q240" t="str">
        <f t="shared" si="10"/>
        <v>Profit</v>
      </c>
      <c r="R240" s="9" t="str">
        <f t="shared" si="11"/>
        <v>Jul</v>
      </c>
    </row>
    <row r="241" spans="1:18" x14ac:dyDescent="0.25">
      <c r="A241" s="5" t="s">
        <v>322</v>
      </c>
      <c r="B241" s="16">
        <v>46010</v>
      </c>
      <c r="C241" t="s">
        <v>70</v>
      </c>
      <c r="D241" t="s">
        <v>92</v>
      </c>
      <c r="E241" t="s">
        <v>42</v>
      </c>
      <c r="F241" t="s">
        <v>43</v>
      </c>
      <c r="G241" t="s">
        <v>77</v>
      </c>
      <c r="H241" t="s">
        <v>111</v>
      </c>
      <c r="I241" s="17">
        <v>1</v>
      </c>
      <c r="J241" s="7">
        <v>29000</v>
      </c>
      <c r="K241" s="8">
        <v>0.05</v>
      </c>
      <c r="L241" s="7">
        <v>27550</v>
      </c>
      <c r="M241" s="7">
        <f>CleanSalesTable[[#This Row],[Sales Amount]]-CleanSalesTable[[#This Row],[Unit Price]]</f>
        <v>-1450</v>
      </c>
      <c r="N241" t="s">
        <v>50</v>
      </c>
      <c r="O241" t="s">
        <v>32</v>
      </c>
      <c r="P241" t="str">
        <f t="shared" si="9"/>
        <v>Low</v>
      </c>
      <c r="Q241" t="str">
        <f t="shared" si="10"/>
        <v>Loss</v>
      </c>
      <c r="R241" s="9" t="str">
        <f t="shared" si="11"/>
        <v>Dec</v>
      </c>
    </row>
    <row r="242" spans="1:18" x14ac:dyDescent="0.25">
      <c r="A242" s="5" t="s">
        <v>323</v>
      </c>
      <c r="B242" s="16">
        <v>45818</v>
      </c>
      <c r="C242" t="s">
        <v>70</v>
      </c>
      <c r="D242" t="s">
        <v>47</v>
      </c>
      <c r="E242" t="s">
        <v>19</v>
      </c>
      <c r="F242" t="s">
        <v>20</v>
      </c>
      <c r="G242" t="s">
        <v>21</v>
      </c>
      <c r="H242" t="s">
        <v>82</v>
      </c>
      <c r="I242" s="17">
        <v>4</v>
      </c>
      <c r="J242" s="7">
        <v>900</v>
      </c>
      <c r="K242" s="8">
        <v>0</v>
      </c>
      <c r="L242" s="7">
        <v>3600</v>
      </c>
      <c r="M242" s="7">
        <f>CleanSalesTable[[#This Row],[Sales Amount]]-CleanSalesTable[[#This Row],[Unit Price]]</f>
        <v>2700</v>
      </c>
      <c r="N242" t="s">
        <v>58</v>
      </c>
      <c r="O242" t="s">
        <v>51</v>
      </c>
      <c r="P242" t="str">
        <f t="shared" si="9"/>
        <v>Low</v>
      </c>
      <c r="Q242" t="str">
        <f t="shared" si="10"/>
        <v>Profit</v>
      </c>
      <c r="R242" s="9" t="str">
        <f t="shared" si="11"/>
        <v>Jun</v>
      </c>
    </row>
    <row r="243" spans="1:18" x14ac:dyDescent="0.25">
      <c r="A243" s="5" t="s">
        <v>324</v>
      </c>
      <c r="B243" s="16">
        <v>45667</v>
      </c>
      <c r="C243" t="s">
        <v>84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s="17">
        <v>2</v>
      </c>
      <c r="J243" s="7">
        <v>1500</v>
      </c>
      <c r="K243" s="8">
        <v>0.05</v>
      </c>
      <c r="L243" s="7">
        <v>2850</v>
      </c>
      <c r="M243" s="7">
        <f>CleanSalesTable[[#This Row],[Sales Amount]]-CleanSalesTable[[#This Row],[Unit Price]]</f>
        <v>1350</v>
      </c>
      <c r="N243" t="s">
        <v>23</v>
      </c>
      <c r="O243" t="s">
        <v>32</v>
      </c>
      <c r="P243" t="str">
        <f t="shared" si="9"/>
        <v>Low</v>
      </c>
      <c r="Q243" t="str">
        <f t="shared" si="10"/>
        <v>Profit</v>
      </c>
      <c r="R243" s="9" t="str">
        <f t="shared" si="11"/>
        <v>Jan</v>
      </c>
    </row>
    <row r="244" spans="1:18" x14ac:dyDescent="0.25">
      <c r="A244" s="5" t="s">
        <v>325</v>
      </c>
      <c r="B244" s="16">
        <v>45906</v>
      </c>
      <c r="C244" t="s">
        <v>26</v>
      </c>
      <c r="D244" t="s">
        <v>62</v>
      </c>
      <c r="E244" t="s">
        <v>28</v>
      </c>
      <c r="F244" t="s">
        <v>29</v>
      </c>
      <c r="G244" t="s">
        <v>21</v>
      </c>
      <c r="H244" t="s">
        <v>22</v>
      </c>
      <c r="I244" s="17">
        <v>3</v>
      </c>
      <c r="J244" s="7">
        <v>1500</v>
      </c>
      <c r="K244" s="8">
        <v>0</v>
      </c>
      <c r="L244" s="7">
        <v>4500</v>
      </c>
      <c r="M244" s="7">
        <f>CleanSalesTable[[#This Row],[Sales Amount]]-CleanSalesTable[[#This Row],[Unit Price]]</f>
        <v>3000</v>
      </c>
      <c r="N244" t="s">
        <v>50</v>
      </c>
      <c r="O244" t="s">
        <v>39</v>
      </c>
      <c r="P244" t="str">
        <f t="shared" si="9"/>
        <v>Low</v>
      </c>
      <c r="Q244" t="str">
        <f t="shared" si="10"/>
        <v>Profit</v>
      </c>
      <c r="R244" s="9" t="str">
        <f t="shared" si="11"/>
        <v>Sep</v>
      </c>
    </row>
    <row r="245" spans="1:18" x14ac:dyDescent="0.25">
      <c r="A245" s="5" t="s">
        <v>326</v>
      </c>
      <c r="B245" s="16">
        <v>45967</v>
      </c>
      <c r="C245" t="s">
        <v>34</v>
      </c>
      <c r="D245" t="s">
        <v>89</v>
      </c>
      <c r="E245" t="s">
        <v>87</v>
      </c>
      <c r="F245" t="s">
        <v>20</v>
      </c>
      <c r="G245" t="s">
        <v>21</v>
      </c>
      <c r="H245" t="s">
        <v>82</v>
      </c>
      <c r="I245" s="17">
        <v>3</v>
      </c>
      <c r="J245" s="7">
        <v>900</v>
      </c>
      <c r="K245" s="8">
        <v>0</v>
      </c>
      <c r="L245" s="7">
        <v>2700</v>
      </c>
      <c r="M245" s="7">
        <f>CleanSalesTable[[#This Row],[Sales Amount]]-CleanSalesTable[[#This Row],[Unit Price]]</f>
        <v>1800</v>
      </c>
      <c r="N245" t="s">
        <v>38</v>
      </c>
      <c r="O245" t="s">
        <v>59</v>
      </c>
      <c r="P245" t="str">
        <f t="shared" si="9"/>
        <v>Low</v>
      </c>
      <c r="Q245" t="str">
        <f t="shared" si="10"/>
        <v>Profit</v>
      </c>
      <c r="R245" s="9" t="str">
        <f t="shared" si="11"/>
        <v>Nov</v>
      </c>
    </row>
    <row r="246" spans="1:18" x14ac:dyDescent="0.25">
      <c r="A246" s="5" t="s">
        <v>327</v>
      </c>
      <c r="B246" s="16">
        <v>45694</v>
      </c>
      <c r="C246" t="s">
        <v>61</v>
      </c>
      <c r="D246" t="s">
        <v>35</v>
      </c>
      <c r="E246" t="s">
        <v>36</v>
      </c>
      <c r="F246" t="s">
        <v>29</v>
      </c>
      <c r="G246" t="s">
        <v>21</v>
      </c>
      <c r="H246" t="s">
        <v>22</v>
      </c>
      <c r="I246" s="17">
        <v>3</v>
      </c>
      <c r="J246" s="7">
        <v>1500</v>
      </c>
      <c r="K246" s="8">
        <v>0.05</v>
      </c>
      <c r="L246" s="7">
        <v>4275</v>
      </c>
      <c r="M246" s="7">
        <f>CleanSalesTable[[#This Row],[Sales Amount]]-CleanSalesTable[[#This Row],[Unit Price]]</f>
        <v>2775</v>
      </c>
      <c r="N246" t="s">
        <v>73</v>
      </c>
      <c r="O246" t="s">
        <v>79</v>
      </c>
      <c r="P246" t="str">
        <f t="shared" si="9"/>
        <v>Low</v>
      </c>
      <c r="Q246" t="str">
        <f t="shared" si="10"/>
        <v>Profit</v>
      </c>
      <c r="R246" s="9" t="str">
        <f t="shared" si="11"/>
        <v>Feb</v>
      </c>
    </row>
    <row r="247" spans="1:18" x14ac:dyDescent="0.25">
      <c r="A247" s="5" t="s">
        <v>328</v>
      </c>
      <c r="B247" s="16">
        <v>45839</v>
      </c>
      <c r="C247" t="s">
        <v>17</v>
      </c>
      <c r="D247" t="s">
        <v>95</v>
      </c>
      <c r="E247" t="s">
        <v>87</v>
      </c>
      <c r="F247" t="s">
        <v>20</v>
      </c>
      <c r="G247" t="s">
        <v>21</v>
      </c>
      <c r="H247" t="s">
        <v>44</v>
      </c>
      <c r="I247" s="17">
        <v>3</v>
      </c>
      <c r="J247" s="7">
        <v>1200</v>
      </c>
      <c r="K247" s="8">
        <v>0</v>
      </c>
      <c r="L247" s="7">
        <v>3600</v>
      </c>
      <c r="M247" s="7">
        <f>CleanSalesTable[[#This Row],[Sales Amount]]-CleanSalesTable[[#This Row],[Unit Price]]</f>
        <v>2400</v>
      </c>
      <c r="N247" t="s">
        <v>50</v>
      </c>
      <c r="O247" t="s">
        <v>24</v>
      </c>
      <c r="P247" t="str">
        <f t="shared" si="9"/>
        <v>Low</v>
      </c>
      <c r="Q247" t="str">
        <f t="shared" si="10"/>
        <v>Profit</v>
      </c>
      <c r="R247" s="9" t="str">
        <f t="shared" si="11"/>
        <v>Jul</v>
      </c>
    </row>
    <row r="248" spans="1:18" x14ac:dyDescent="0.25">
      <c r="A248" s="5" t="s">
        <v>329</v>
      </c>
      <c r="B248" s="16">
        <v>45841</v>
      </c>
      <c r="C248" t="s">
        <v>26</v>
      </c>
      <c r="D248" t="s">
        <v>41</v>
      </c>
      <c r="E248" t="s">
        <v>42</v>
      </c>
      <c r="F248" t="s">
        <v>43</v>
      </c>
      <c r="G248" t="s">
        <v>54</v>
      </c>
      <c r="H248" t="s">
        <v>63</v>
      </c>
      <c r="I248" s="17">
        <v>1</v>
      </c>
      <c r="J248" s="7">
        <v>61000</v>
      </c>
      <c r="K248" s="8">
        <v>0.1</v>
      </c>
      <c r="L248" s="7">
        <v>54900</v>
      </c>
      <c r="M248" s="7">
        <f>CleanSalesTable[[#This Row],[Sales Amount]]-CleanSalesTable[[#This Row],[Unit Price]]</f>
        <v>-6100</v>
      </c>
      <c r="N248" t="s">
        <v>50</v>
      </c>
      <c r="O248" t="s">
        <v>32</v>
      </c>
      <c r="P248" t="str">
        <f t="shared" si="9"/>
        <v>Medium</v>
      </c>
      <c r="Q248" t="str">
        <f t="shared" si="10"/>
        <v>Loss</v>
      </c>
      <c r="R248" s="9" t="str">
        <f t="shared" si="11"/>
        <v>Jul</v>
      </c>
    </row>
    <row r="249" spans="1:18" x14ac:dyDescent="0.25">
      <c r="A249" s="5" t="s">
        <v>330</v>
      </c>
      <c r="B249" s="16">
        <v>45907</v>
      </c>
      <c r="C249" t="s">
        <v>34</v>
      </c>
      <c r="D249" t="s">
        <v>92</v>
      </c>
      <c r="E249" t="s">
        <v>42</v>
      </c>
      <c r="F249" t="s">
        <v>43</v>
      </c>
      <c r="G249" t="s">
        <v>77</v>
      </c>
      <c r="H249" t="s">
        <v>78</v>
      </c>
      <c r="I249" s="17">
        <v>3</v>
      </c>
      <c r="J249" s="7">
        <v>21000</v>
      </c>
      <c r="K249" s="8">
        <v>0.05</v>
      </c>
      <c r="L249" s="7">
        <v>59850</v>
      </c>
      <c r="M249" s="7">
        <f>CleanSalesTable[[#This Row],[Sales Amount]]-CleanSalesTable[[#This Row],[Unit Price]]</f>
        <v>38850</v>
      </c>
      <c r="N249" t="s">
        <v>73</v>
      </c>
      <c r="O249" t="s">
        <v>32</v>
      </c>
      <c r="P249" t="str">
        <f t="shared" si="9"/>
        <v>Medium</v>
      </c>
      <c r="Q249" t="str">
        <f t="shared" si="10"/>
        <v>Profit</v>
      </c>
      <c r="R249" s="9" t="str">
        <f t="shared" si="11"/>
        <v>Sep</v>
      </c>
    </row>
    <row r="250" spans="1:18" x14ac:dyDescent="0.25">
      <c r="A250" s="5" t="s">
        <v>331</v>
      </c>
      <c r="B250" s="16">
        <v>45759</v>
      </c>
      <c r="C250" t="s">
        <v>26</v>
      </c>
      <c r="D250" t="s">
        <v>62</v>
      </c>
      <c r="E250" t="s">
        <v>28</v>
      </c>
      <c r="F250" t="s">
        <v>29</v>
      </c>
      <c r="G250" t="s">
        <v>48</v>
      </c>
      <c r="H250" t="s">
        <v>90</v>
      </c>
      <c r="I250" s="17">
        <v>1</v>
      </c>
      <c r="J250" s="7">
        <v>14500</v>
      </c>
      <c r="K250" s="8">
        <v>0.05</v>
      </c>
      <c r="L250" s="7">
        <v>13775</v>
      </c>
      <c r="M250" s="7">
        <f>CleanSalesTable[[#This Row],[Sales Amount]]-CleanSalesTable[[#This Row],[Unit Price]]</f>
        <v>-725</v>
      </c>
      <c r="N250" t="s">
        <v>38</v>
      </c>
      <c r="O250" t="s">
        <v>74</v>
      </c>
      <c r="P250" t="str">
        <f t="shared" si="9"/>
        <v>Low</v>
      </c>
      <c r="Q250" t="str">
        <f t="shared" si="10"/>
        <v>Loss</v>
      </c>
      <c r="R250" s="9" t="str">
        <f t="shared" si="11"/>
        <v>Apr</v>
      </c>
    </row>
    <row r="251" spans="1:18" x14ac:dyDescent="0.25">
      <c r="A251" s="5" t="s">
        <v>332</v>
      </c>
      <c r="B251" s="16">
        <v>45791</v>
      </c>
      <c r="C251" t="s">
        <v>34</v>
      </c>
      <c r="D251" t="s">
        <v>76</v>
      </c>
      <c r="E251" t="s">
        <v>42</v>
      </c>
      <c r="F251" t="s">
        <v>43</v>
      </c>
      <c r="G251" t="s">
        <v>48</v>
      </c>
      <c r="H251" t="s">
        <v>105</v>
      </c>
      <c r="I251" s="17">
        <v>4</v>
      </c>
      <c r="J251" s="7">
        <v>21000</v>
      </c>
      <c r="K251" s="8">
        <v>0.15</v>
      </c>
      <c r="L251" s="7">
        <v>71400</v>
      </c>
      <c r="M251" s="7">
        <f>CleanSalesTable[[#This Row],[Sales Amount]]-CleanSalesTable[[#This Row],[Unit Price]]</f>
        <v>50400</v>
      </c>
      <c r="N251" t="s">
        <v>73</v>
      </c>
      <c r="O251" t="s">
        <v>51</v>
      </c>
      <c r="P251" t="str">
        <f t="shared" si="9"/>
        <v>Medium</v>
      </c>
      <c r="Q251" t="str">
        <f t="shared" si="10"/>
        <v>Profit</v>
      </c>
      <c r="R251" s="9" t="str">
        <f t="shared" si="11"/>
        <v>May</v>
      </c>
    </row>
    <row r="252" spans="1:18" x14ac:dyDescent="0.25">
      <c r="A252" s="5" t="s">
        <v>333</v>
      </c>
      <c r="B252" s="16">
        <v>45964</v>
      </c>
      <c r="C252" t="s">
        <v>84</v>
      </c>
      <c r="D252" t="s">
        <v>62</v>
      </c>
      <c r="E252" t="s">
        <v>28</v>
      </c>
      <c r="F252" t="s">
        <v>29</v>
      </c>
      <c r="G252" t="s">
        <v>21</v>
      </c>
      <c r="H252" t="s">
        <v>82</v>
      </c>
      <c r="I252" s="17">
        <v>1</v>
      </c>
      <c r="J252" s="7">
        <v>900</v>
      </c>
      <c r="K252" s="8">
        <v>0</v>
      </c>
      <c r="L252" s="7">
        <v>900</v>
      </c>
      <c r="M252" s="7">
        <f>CleanSalesTable[[#This Row],[Sales Amount]]-CleanSalesTable[[#This Row],[Unit Price]]</f>
        <v>0</v>
      </c>
      <c r="N252" t="s">
        <v>73</v>
      </c>
      <c r="O252" t="s">
        <v>79</v>
      </c>
      <c r="P252" t="str">
        <f t="shared" si="9"/>
        <v>Low</v>
      </c>
      <c r="Q252" t="str">
        <f t="shared" si="10"/>
        <v>Loss</v>
      </c>
      <c r="R252" s="9" t="str">
        <f t="shared" si="11"/>
        <v>Nov</v>
      </c>
    </row>
    <row r="253" spans="1:18" x14ac:dyDescent="0.25">
      <c r="A253" s="5" t="s">
        <v>334</v>
      </c>
      <c r="B253" s="16">
        <v>45778</v>
      </c>
      <c r="C253" t="s">
        <v>26</v>
      </c>
      <c r="D253" t="s">
        <v>92</v>
      </c>
      <c r="E253" t="s">
        <v>42</v>
      </c>
      <c r="F253" t="s">
        <v>43</v>
      </c>
      <c r="G253" t="s">
        <v>48</v>
      </c>
      <c r="H253" t="s">
        <v>105</v>
      </c>
      <c r="I253" s="17">
        <v>2</v>
      </c>
      <c r="J253" s="7">
        <v>21000</v>
      </c>
      <c r="K253" s="8">
        <v>0</v>
      </c>
      <c r="L253" s="7">
        <v>42000</v>
      </c>
      <c r="M253" s="7">
        <f>CleanSalesTable[[#This Row],[Sales Amount]]-CleanSalesTable[[#This Row],[Unit Price]]</f>
        <v>21000</v>
      </c>
      <c r="N253" t="s">
        <v>23</v>
      </c>
      <c r="O253" t="s">
        <v>79</v>
      </c>
      <c r="P253" t="str">
        <f t="shared" si="9"/>
        <v>Medium</v>
      </c>
      <c r="Q253" t="str">
        <f t="shared" si="10"/>
        <v>Profit</v>
      </c>
      <c r="R253" s="9" t="str">
        <f t="shared" si="11"/>
        <v>May</v>
      </c>
    </row>
    <row r="254" spans="1:18" x14ac:dyDescent="0.25">
      <c r="A254" s="5" t="s">
        <v>335</v>
      </c>
      <c r="B254" s="16">
        <v>45744</v>
      </c>
      <c r="C254" t="s">
        <v>84</v>
      </c>
      <c r="D254" t="s">
        <v>35</v>
      </c>
      <c r="E254" t="s">
        <v>36</v>
      </c>
      <c r="F254" t="s">
        <v>29</v>
      </c>
      <c r="G254" t="s">
        <v>77</v>
      </c>
      <c r="H254" t="s">
        <v>99</v>
      </c>
      <c r="I254" s="17">
        <v>1</v>
      </c>
      <c r="J254" s="7">
        <v>24000</v>
      </c>
      <c r="K254" s="8">
        <v>0</v>
      </c>
      <c r="L254" s="7">
        <v>24000</v>
      </c>
      <c r="M254" s="7">
        <f>CleanSalesTable[[#This Row],[Sales Amount]]-CleanSalesTable[[#This Row],[Unit Price]]</f>
        <v>0</v>
      </c>
      <c r="N254" t="s">
        <v>23</v>
      </c>
      <c r="O254" t="s">
        <v>97</v>
      </c>
      <c r="P254" t="str">
        <f t="shared" si="9"/>
        <v>Low</v>
      </c>
      <c r="Q254" t="str">
        <f t="shared" si="10"/>
        <v>Loss</v>
      </c>
      <c r="R254" s="9" t="str">
        <f t="shared" si="11"/>
        <v>Mar</v>
      </c>
    </row>
    <row r="255" spans="1:18" x14ac:dyDescent="0.25">
      <c r="A255" s="5" t="s">
        <v>336</v>
      </c>
      <c r="B255" s="16">
        <v>45718</v>
      </c>
      <c r="C255" t="s">
        <v>53</v>
      </c>
      <c r="D255" t="s">
        <v>35</v>
      </c>
      <c r="E255" t="s">
        <v>36</v>
      </c>
      <c r="F255" t="s">
        <v>29</v>
      </c>
      <c r="G255" t="s">
        <v>30</v>
      </c>
      <c r="H255" t="s">
        <v>57</v>
      </c>
      <c r="I255" s="17">
        <v>1</v>
      </c>
      <c r="J255" s="7">
        <v>4500</v>
      </c>
      <c r="K255" s="8">
        <v>0.15</v>
      </c>
      <c r="L255" s="7">
        <v>3825</v>
      </c>
      <c r="M255" s="7">
        <f>CleanSalesTable[[#This Row],[Sales Amount]]-CleanSalesTable[[#This Row],[Unit Price]]</f>
        <v>-675</v>
      </c>
      <c r="N255" t="s">
        <v>58</v>
      </c>
      <c r="O255" t="s">
        <v>79</v>
      </c>
      <c r="P255" t="str">
        <f t="shared" si="9"/>
        <v>Low</v>
      </c>
      <c r="Q255" t="str">
        <f t="shared" si="10"/>
        <v>Loss</v>
      </c>
      <c r="R255" s="9" t="str">
        <f t="shared" si="11"/>
        <v>Mar</v>
      </c>
    </row>
    <row r="256" spans="1:18" x14ac:dyDescent="0.25">
      <c r="A256" s="5" t="s">
        <v>337</v>
      </c>
      <c r="B256" s="16">
        <v>45720</v>
      </c>
      <c r="C256" t="s">
        <v>34</v>
      </c>
      <c r="D256" t="s">
        <v>104</v>
      </c>
      <c r="E256" t="s">
        <v>19</v>
      </c>
      <c r="F256" t="s">
        <v>20</v>
      </c>
      <c r="G256" t="s">
        <v>30</v>
      </c>
      <c r="H256" t="s">
        <v>31</v>
      </c>
      <c r="I256" s="17">
        <v>3</v>
      </c>
      <c r="J256" s="7">
        <v>3200</v>
      </c>
      <c r="K256" s="8">
        <v>0</v>
      </c>
      <c r="L256" s="7">
        <v>9600</v>
      </c>
      <c r="M256" s="7">
        <f>CleanSalesTable[[#This Row],[Sales Amount]]-CleanSalesTable[[#This Row],[Unit Price]]</f>
        <v>6400</v>
      </c>
      <c r="N256" t="s">
        <v>50</v>
      </c>
      <c r="O256" t="s">
        <v>74</v>
      </c>
      <c r="P256" t="str">
        <f t="shared" si="9"/>
        <v>Low</v>
      </c>
      <c r="Q256" t="str">
        <f t="shared" si="10"/>
        <v>Profit</v>
      </c>
      <c r="R256" s="9" t="str">
        <f t="shared" si="11"/>
        <v>Mar</v>
      </c>
    </row>
    <row r="257" spans="1:18" x14ac:dyDescent="0.25">
      <c r="A257" s="5" t="s">
        <v>338</v>
      </c>
      <c r="B257" s="16">
        <v>45684</v>
      </c>
      <c r="C257" t="s">
        <v>94</v>
      </c>
      <c r="D257" t="s">
        <v>41</v>
      </c>
      <c r="E257" t="s">
        <v>42</v>
      </c>
      <c r="F257" t="s">
        <v>43</v>
      </c>
      <c r="G257" t="s">
        <v>21</v>
      </c>
      <c r="H257" t="s">
        <v>82</v>
      </c>
      <c r="I257" s="17">
        <v>4</v>
      </c>
      <c r="J257" s="7">
        <v>900</v>
      </c>
      <c r="K257" s="8">
        <v>0.1</v>
      </c>
      <c r="L257" s="7">
        <v>3240</v>
      </c>
      <c r="M257" s="7">
        <f>CleanSalesTable[[#This Row],[Sales Amount]]-CleanSalesTable[[#This Row],[Unit Price]]</f>
        <v>2340</v>
      </c>
      <c r="N257" t="s">
        <v>73</v>
      </c>
      <c r="O257" t="s">
        <v>59</v>
      </c>
      <c r="P257" t="str">
        <f t="shared" si="9"/>
        <v>Low</v>
      </c>
      <c r="Q257" t="str">
        <f t="shared" si="10"/>
        <v>Profit</v>
      </c>
      <c r="R257" s="9" t="str">
        <f t="shared" si="11"/>
        <v>Jan</v>
      </c>
    </row>
    <row r="258" spans="1:18" x14ac:dyDescent="0.25">
      <c r="A258" s="5" t="s">
        <v>339</v>
      </c>
      <c r="B258" s="16">
        <v>45876</v>
      </c>
      <c r="C258" t="s">
        <v>70</v>
      </c>
      <c r="D258" t="s">
        <v>102</v>
      </c>
      <c r="E258" t="s">
        <v>36</v>
      </c>
      <c r="F258" t="s">
        <v>29</v>
      </c>
      <c r="G258" t="s">
        <v>30</v>
      </c>
      <c r="H258" t="s">
        <v>31</v>
      </c>
      <c r="I258" s="17">
        <v>1</v>
      </c>
      <c r="J258" s="7">
        <v>3200</v>
      </c>
      <c r="K258" s="8">
        <v>0.15</v>
      </c>
      <c r="L258" s="7">
        <v>2720</v>
      </c>
      <c r="M258" s="7">
        <f>CleanSalesTable[[#This Row],[Sales Amount]]-CleanSalesTable[[#This Row],[Unit Price]]</f>
        <v>-480</v>
      </c>
      <c r="N258" t="s">
        <v>38</v>
      </c>
      <c r="O258" t="s">
        <v>39</v>
      </c>
      <c r="P258" t="str">
        <f t="shared" si="9"/>
        <v>Low</v>
      </c>
      <c r="Q258" t="str">
        <f t="shared" si="10"/>
        <v>Loss</v>
      </c>
      <c r="R258" s="9" t="str">
        <f t="shared" si="11"/>
        <v>Aug</v>
      </c>
    </row>
    <row r="259" spans="1:18" x14ac:dyDescent="0.25">
      <c r="A259" s="5" t="s">
        <v>340</v>
      </c>
      <c r="B259" s="16">
        <v>45737</v>
      </c>
      <c r="C259" t="s">
        <v>26</v>
      </c>
      <c r="D259" t="s">
        <v>27</v>
      </c>
      <c r="E259" t="s">
        <v>28</v>
      </c>
      <c r="F259" t="s">
        <v>29</v>
      </c>
      <c r="G259" t="s">
        <v>21</v>
      </c>
      <c r="H259" t="s">
        <v>82</v>
      </c>
      <c r="I259" s="17">
        <v>3</v>
      </c>
      <c r="J259" s="7">
        <v>900</v>
      </c>
      <c r="K259" s="8">
        <v>0.05</v>
      </c>
      <c r="L259" s="7">
        <v>2565</v>
      </c>
      <c r="M259" s="7">
        <f>CleanSalesTable[[#This Row],[Sales Amount]]-CleanSalesTable[[#This Row],[Unit Price]]</f>
        <v>1665</v>
      </c>
      <c r="N259" t="s">
        <v>23</v>
      </c>
      <c r="O259" t="s">
        <v>74</v>
      </c>
      <c r="P259" t="str">
        <f t="shared" si="9"/>
        <v>Low</v>
      </c>
      <c r="Q259" t="str">
        <f t="shared" si="10"/>
        <v>Profit</v>
      </c>
      <c r="R259" s="9" t="str">
        <f t="shared" si="11"/>
        <v>Mar</v>
      </c>
    </row>
    <row r="260" spans="1:18" x14ac:dyDescent="0.25">
      <c r="A260" s="5" t="s">
        <v>341</v>
      </c>
      <c r="B260" s="16">
        <v>45980</v>
      </c>
      <c r="C260" t="s">
        <v>53</v>
      </c>
      <c r="D260" t="s">
        <v>67</v>
      </c>
      <c r="E260" t="s">
        <v>36</v>
      </c>
      <c r="F260" t="s">
        <v>29</v>
      </c>
      <c r="G260" t="s">
        <v>77</v>
      </c>
      <c r="H260" t="s">
        <v>78</v>
      </c>
      <c r="I260" s="17">
        <v>2</v>
      </c>
      <c r="J260" s="7">
        <v>21000</v>
      </c>
      <c r="K260" s="8">
        <v>0.1</v>
      </c>
      <c r="L260" s="7">
        <v>37800</v>
      </c>
      <c r="M260" s="7">
        <f>CleanSalesTable[[#This Row],[Sales Amount]]-CleanSalesTable[[#This Row],[Unit Price]]</f>
        <v>16800</v>
      </c>
      <c r="N260" t="s">
        <v>38</v>
      </c>
      <c r="O260" t="s">
        <v>32</v>
      </c>
      <c r="P260" t="str">
        <f t="shared" si="9"/>
        <v>Medium</v>
      </c>
      <c r="Q260" t="str">
        <f t="shared" si="10"/>
        <v>Profit</v>
      </c>
      <c r="R260" s="9" t="str">
        <f t="shared" si="11"/>
        <v>Nov</v>
      </c>
    </row>
    <row r="261" spans="1:18" x14ac:dyDescent="0.25">
      <c r="A261" s="5" t="s">
        <v>342</v>
      </c>
      <c r="B261" s="16">
        <v>45794</v>
      </c>
      <c r="C261" t="s">
        <v>26</v>
      </c>
      <c r="D261" t="s">
        <v>104</v>
      </c>
      <c r="E261" t="s">
        <v>19</v>
      </c>
      <c r="F261" t="s">
        <v>20</v>
      </c>
      <c r="G261" t="s">
        <v>48</v>
      </c>
      <c r="H261" t="s">
        <v>49</v>
      </c>
      <c r="I261" s="17">
        <v>1</v>
      </c>
      <c r="J261" s="7">
        <v>13500</v>
      </c>
      <c r="K261" s="8">
        <v>0.1</v>
      </c>
      <c r="L261" s="7">
        <v>12150</v>
      </c>
      <c r="M261" s="7">
        <f>CleanSalesTable[[#This Row],[Sales Amount]]-CleanSalesTable[[#This Row],[Unit Price]]</f>
        <v>-1350</v>
      </c>
      <c r="N261" t="s">
        <v>23</v>
      </c>
      <c r="O261" t="s">
        <v>39</v>
      </c>
      <c r="P261" t="str">
        <f t="shared" ref="P261:P324" si="12">IF(L261&gt;=100000,"High",IF(L261&gt;=30000,"Medium","Low"))</f>
        <v>Low</v>
      </c>
      <c r="Q261" t="str">
        <f t="shared" ref="Q261:Q324" si="13">IF(M261&gt;0,"Profit","Loss")</f>
        <v>Loss</v>
      </c>
      <c r="R261" s="9" t="str">
        <f t="shared" ref="R261:R324" si="14">TEXT(B261,"mmm")</f>
        <v>May</v>
      </c>
    </row>
    <row r="262" spans="1:18" x14ac:dyDescent="0.25">
      <c r="A262" s="5" t="s">
        <v>343</v>
      </c>
      <c r="B262" s="16">
        <v>45978</v>
      </c>
      <c r="C262" t="s">
        <v>26</v>
      </c>
      <c r="D262" t="s">
        <v>110</v>
      </c>
      <c r="E262" t="s">
        <v>72</v>
      </c>
      <c r="F262" t="s">
        <v>43</v>
      </c>
      <c r="G262" t="s">
        <v>48</v>
      </c>
      <c r="H262" t="s">
        <v>49</v>
      </c>
      <c r="I262" s="17">
        <v>4</v>
      </c>
      <c r="J262" s="7">
        <v>13500</v>
      </c>
      <c r="K262" s="8">
        <v>0.1</v>
      </c>
      <c r="L262" s="7">
        <v>48600</v>
      </c>
      <c r="M262" s="7">
        <f>CleanSalesTable[[#This Row],[Sales Amount]]-CleanSalesTable[[#This Row],[Unit Price]]</f>
        <v>35100</v>
      </c>
      <c r="N262" t="s">
        <v>38</v>
      </c>
      <c r="O262" t="s">
        <v>74</v>
      </c>
      <c r="P262" t="str">
        <f t="shared" si="12"/>
        <v>Medium</v>
      </c>
      <c r="Q262" t="str">
        <f t="shared" si="13"/>
        <v>Profit</v>
      </c>
      <c r="R262" s="9" t="str">
        <f t="shared" si="14"/>
        <v>Nov</v>
      </c>
    </row>
    <row r="263" spans="1:18" x14ac:dyDescent="0.25">
      <c r="A263" s="5" t="s">
        <v>344</v>
      </c>
      <c r="B263" s="16">
        <v>45823</v>
      </c>
      <c r="C263" t="s">
        <v>61</v>
      </c>
      <c r="D263" t="s">
        <v>62</v>
      </c>
      <c r="E263" t="s">
        <v>28</v>
      </c>
      <c r="F263" t="s">
        <v>29</v>
      </c>
      <c r="G263" t="s">
        <v>48</v>
      </c>
      <c r="H263" t="s">
        <v>49</v>
      </c>
      <c r="I263" s="17">
        <v>3</v>
      </c>
      <c r="J263" s="7">
        <v>13500</v>
      </c>
      <c r="K263" s="8">
        <v>0.15</v>
      </c>
      <c r="L263" s="7">
        <v>34425</v>
      </c>
      <c r="M263" s="7">
        <f>CleanSalesTable[[#This Row],[Sales Amount]]-CleanSalesTable[[#This Row],[Unit Price]]</f>
        <v>20925</v>
      </c>
      <c r="N263" t="s">
        <v>50</v>
      </c>
      <c r="O263" t="s">
        <v>24</v>
      </c>
      <c r="P263" t="str">
        <f t="shared" si="12"/>
        <v>Medium</v>
      </c>
      <c r="Q263" t="str">
        <f t="shared" si="13"/>
        <v>Profit</v>
      </c>
      <c r="R263" s="9" t="str">
        <f t="shared" si="14"/>
        <v>Jun</v>
      </c>
    </row>
    <row r="264" spans="1:18" x14ac:dyDescent="0.25">
      <c r="A264" s="5" t="s">
        <v>345</v>
      </c>
      <c r="B264" s="16">
        <v>45965</v>
      </c>
      <c r="C264" t="s">
        <v>70</v>
      </c>
      <c r="D264" t="s">
        <v>104</v>
      </c>
      <c r="E264" t="s">
        <v>19</v>
      </c>
      <c r="F264" t="s">
        <v>20</v>
      </c>
      <c r="G264" t="s">
        <v>54</v>
      </c>
      <c r="H264" t="s">
        <v>68</v>
      </c>
      <c r="I264" s="17">
        <v>3</v>
      </c>
      <c r="J264" s="7">
        <v>52000</v>
      </c>
      <c r="K264" s="8">
        <v>0</v>
      </c>
      <c r="L264" s="7">
        <v>156000</v>
      </c>
      <c r="M264" s="7">
        <f>CleanSalesTable[[#This Row],[Sales Amount]]-CleanSalesTable[[#This Row],[Unit Price]]</f>
        <v>104000</v>
      </c>
      <c r="N264" t="s">
        <v>38</v>
      </c>
      <c r="O264" t="s">
        <v>79</v>
      </c>
      <c r="P264" t="str">
        <f t="shared" si="12"/>
        <v>High</v>
      </c>
      <c r="Q264" t="str">
        <f t="shared" si="13"/>
        <v>Profit</v>
      </c>
      <c r="R264" s="9" t="str">
        <f t="shared" si="14"/>
        <v>Nov</v>
      </c>
    </row>
    <row r="265" spans="1:18" x14ac:dyDescent="0.25">
      <c r="A265" s="5" t="s">
        <v>346</v>
      </c>
      <c r="B265" s="16">
        <v>45793</v>
      </c>
      <c r="C265" t="s">
        <v>94</v>
      </c>
      <c r="D265" t="s">
        <v>95</v>
      </c>
      <c r="E265" t="s">
        <v>87</v>
      </c>
      <c r="F265" t="s">
        <v>20</v>
      </c>
      <c r="G265" t="s">
        <v>77</v>
      </c>
      <c r="H265" t="s">
        <v>111</v>
      </c>
      <c r="I265" s="17">
        <v>3</v>
      </c>
      <c r="J265" s="7">
        <v>29000</v>
      </c>
      <c r="K265" s="8">
        <v>0.1</v>
      </c>
      <c r="L265" s="7">
        <v>78300</v>
      </c>
      <c r="M265" s="7">
        <f>CleanSalesTable[[#This Row],[Sales Amount]]-CleanSalesTable[[#This Row],[Unit Price]]</f>
        <v>49300</v>
      </c>
      <c r="N265" t="s">
        <v>58</v>
      </c>
      <c r="O265" t="s">
        <v>24</v>
      </c>
      <c r="P265" t="str">
        <f t="shared" si="12"/>
        <v>Medium</v>
      </c>
      <c r="Q265" t="str">
        <f t="shared" si="13"/>
        <v>Profit</v>
      </c>
      <c r="R265" s="9" t="str">
        <f t="shared" si="14"/>
        <v>May</v>
      </c>
    </row>
    <row r="266" spans="1:18" x14ac:dyDescent="0.25">
      <c r="A266" s="5" t="s">
        <v>347</v>
      </c>
      <c r="B266" s="16">
        <v>45886</v>
      </c>
      <c r="C266" t="s">
        <v>34</v>
      </c>
      <c r="D266" t="s">
        <v>95</v>
      </c>
      <c r="E266" t="s">
        <v>87</v>
      </c>
      <c r="F266" t="s">
        <v>20</v>
      </c>
      <c r="G266" t="s">
        <v>21</v>
      </c>
      <c r="H266" t="s">
        <v>82</v>
      </c>
      <c r="I266" s="17">
        <v>2</v>
      </c>
      <c r="J266" s="7">
        <v>900</v>
      </c>
      <c r="K266" s="8">
        <v>0</v>
      </c>
      <c r="L266" s="7">
        <v>1800</v>
      </c>
      <c r="M266" s="7">
        <f>CleanSalesTable[[#This Row],[Sales Amount]]-CleanSalesTable[[#This Row],[Unit Price]]</f>
        <v>900</v>
      </c>
      <c r="N266" t="s">
        <v>38</v>
      </c>
      <c r="O266" t="s">
        <v>32</v>
      </c>
      <c r="P266" t="str">
        <f t="shared" si="12"/>
        <v>Low</v>
      </c>
      <c r="Q266" t="str">
        <f t="shared" si="13"/>
        <v>Profit</v>
      </c>
      <c r="R266" s="9" t="str">
        <f t="shared" si="14"/>
        <v>Aug</v>
      </c>
    </row>
    <row r="267" spans="1:18" x14ac:dyDescent="0.25">
      <c r="A267" s="5" t="s">
        <v>348</v>
      </c>
      <c r="B267" s="16">
        <v>45691</v>
      </c>
      <c r="C267" t="s">
        <v>84</v>
      </c>
      <c r="D267" t="s">
        <v>138</v>
      </c>
      <c r="E267" t="s">
        <v>28</v>
      </c>
      <c r="F267" t="s">
        <v>29</v>
      </c>
      <c r="G267" t="s">
        <v>48</v>
      </c>
      <c r="H267" t="s">
        <v>90</v>
      </c>
      <c r="I267" s="17">
        <v>4</v>
      </c>
      <c r="J267" s="7">
        <v>14500</v>
      </c>
      <c r="K267" s="8">
        <v>0.05</v>
      </c>
      <c r="L267" s="7">
        <v>55100</v>
      </c>
      <c r="M267" s="7">
        <f>CleanSalesTable[[#This Row],[Sales Amount]]-CleanSalesTable[[#This Row],[Unit Price]]</f>
        <v>40600</v>
      </c>
      <c r="N267" t="s">
        <v>73</v>
      </c>
      <c r="O267" t="s">
        <v>39</v>
      </c>
      <c r="P267" t="str">
        <f t="shared" si="12"/>
        <v>Medium</v>
      </c>
      <c r="Q267" t="str">
        <f t="shared" si="13"/>
        <v>Profit</v>
      </c>
      <c r="R267" s="9" t="str">
        <f t="shared" si="14"/>
        <v>Feb</v>
      </c>
    </row>
    <row r="268" spans="1:18" x14ac:dyDescent="0.25">
      <c r="A268" s="5" t="s">
        <v>349</v>
      </c>
      <c r="B268" s="16">
        <v>45850</v>
      </c>
      <c r="C268" t="s">
        <v>26</v>
      </c>
      <c r="D268" t="s">
        <v>138</v>
      </c>
      <c r="E268" t="s">
        <v>28</v>
      </c>
      <c r="F268" t="s">
        <v>29</v>
      </c>
      <c r="G268" t="s">
        <v>30</v>
      </c>
      <c r="H268" t="s">
        <v>57</v>
      </c>
      <c r="I268" s="17">
        <v>4</v>
      </c>
      <c r="J268" s="7">
        <v>4500</v>
      </c>
      <c r="K268" s="8">
        <v>0.05</v>
      </c>
      <c r="L268" s="7">
        <v>17100</v>
      </c>
      <c r="M268" s="7">
        <f>CleanSalesTable[[#This Row],[Sales Amount]]-CleanSalesTable[[#This Row],[Unit Price]]</f>
        <v>12600</v>
      </c>
      <c r="N268" t="s">
        <v>50</v>
      </c>
      <c r="O268" t="s">
        <v>79</v>
      </c>
      <c r="P268" t="str">
        <f t="shared" si="12"/>
        <v>Low</v>
      </c>
      <c r="Q268" t="str">
        <f t="shared" si="13"/>
        <v>Profit</v>
      </c>
      <c r="R268" s="9" t="str">
        <f t="shared" si="14"/>
        <v>Jul</v>
      </c>
    </row>
    <row r="269" spans="1:18" x14ac:dyDescent="0.25">
      <c r="A269" s="5" t="s">
        <v>350</v>
      </c>
      <c r="B269" s="16">
        <v>46001</v>
      </c>
      <c r="C269" t="s">
        <v>26</v>
      </c>
      <c r="D269" t="s">
        <v>18</v>
      </c>
      <c r="E269" t="s">
        <v>19</v>
      </c>
      <c r="F269" t="s">
        <v>20</v>
      </c>
      <c r="G269" t="s">
        <v>77</v>
      </c>
      <c r="H269" t="s">
        <v>99</v>
      </c>
      <c r="I269" s="17">
        <v>2</v>
      </c>
      <c r="J269" s="7">
        <v>24000</v>
      </c>
      <c r="K269" s="8">
        <v>0.05</v>
      </c>
      <c r="L269" s="7">
        <v>45600</v>
      </c>
      <c r="M269" s="7">
        <f>CleanSalesTable[[#This Row],[Sales Amount]]-CleanSalesTable[[#This Row],[Unit Price]]</f>
        <v>21600</v>
      </c>
      <c r="N269" t="s">
        <v>38</v>
      </c>
      <c r="O269" t="s">
        <v>39</v>
      </c>
      <c r="P269" t="str">
        <f t="shared" si="12"/>
        <v>Medium</v>
      </c>
      <c r="Q269" t="str">
        <f t="shared" si="13"/>
        <v>Profit</v>
      </c>
      <c r="R269" s="9" t="str">
        <f t="shared" si="14"/>
        <v>Dec</v>
      </c>
    </row>
    <row r="270" spans="1:18" x14ac:dyDescent="0.25">
      <c r="A270" s="5" t="s">
        <v>351</v>
      </c>
      <c r="B270" s="16">
        <v>45718</v>
      </c>
      <c r="C270" t="s">
        <v>26</v>
      </c>
      <c r="D270" t="s">
        <v>138</v>
      </c>
      <c r="E270" t="s">
        <v>28</v>
      </c>
      <c r="F270" t="s">
        <v>29</v>
      </c>
      <c r="G270" t="s">
        <v>30</v>
      </c>
      <c r="H270" t="s">
        <v>37</v>
      </c>
      <c r="I270" s="17">
        <v>4</v>
      </c>
      <c r="J270" s="7">
        <v>2800</v>
      </c>
      <c r="K270" s="8">
        <v>0.15</v>
      </c>
      <c r="L270" s="7">
        <v>9520</v>
      </c>
      <c r="M270" s="7">
        <f>CleanSalesTable[[#This Row],[Sales Amount]]-CleanSalesTable[[#This Row],[Unit Price]]</f>
        <v>6720</v>
      </c>
      <c r="N270" t="s">
        <v>50</v>
      </c>
      <c r="O270" t="s">
        <v>59</v>
      </c>
      <c r="P270" t="str">
        <f t="shared" si="12"/>
        <v>Low</v>
      </c>
      <c r="Q270" t="str">
        <f t="shared" si="13"/>
        <v>Profit</v>
      </c>
      <c r="R270" s="9" t="str">
        <f t="shared" si="14"/>
        <v>Mar</v>
      </c>
    </row>
    <row r="271" spans="1:18" x14ac:dyDescent="0.25">
      <c r="A271" s="5" t="s">
        <v>352</v>
      </c>
      <c r="B271" s="16">
        <v>45731</v>
      </c>
      <c r="C271" t="s">
        <v>61</v>
      </c>
      <c r="D271" t="s">
        <v>76</v>
      </c>
      <c r="E271" t="s">
        <v>42</v>
      </c>
      <c r="F271" t="s">
        <v>43</v>
      </c>
      <c r="G271" t="s">
        <v>54</v>
      </c>
      <c r="H271" t="s">
        <v>55</v>
      </c>
      <c r="I271" s="17">
        <v>4</v>
      </c>
      <c r="J271" s="7">
        <v>58000</v>
      </c>
      <c r="K271" s="8">
        <v>0.1</v>
      </c>
      <c r="L271" s="7">
        <v>208800</v>
      </c>
      <c r="M271" s="7">
        <f>CleanSalesTable[[#This Row],[Sales Amount]]-CleanSalesTable[[#This Row],[Unit Price]]</f>
        <v>150800</v>
      </c>
      <c r="N271" t="s">
        <v>73</v>
      </c>
      <c r="O271" t="s">
        <v>51</v>
      </c>
      <c r="P271" t="str">
        <f t="shared" si="12"/>
        <v>High</v>
      </c>
      <c r="Q271" t="str">
        <f t="shared" si="13"/>
        <v>Profit</v>
      </c>
      <c r="R271" s="9" t="str">
        <f t="shared" si="14"/>
        <v>Mar</v>
      </c>
    </row>
    <row r="272" spans="1:18" x14ac:dyDescent="0.25">
      <c r="A272" s="5" t="s">
        <v>353</v>
      </c>
      <c r="B272" s="16">
        <v>45830</v>
      </c>
      <c r="C272" t="s">
        <v>26</v>
      </c>
      <c r="D272" t="s">
        <v>62</v>
      </c>
      <c r="E272" t="s">
        <v>28</v>
      </c>
      <c r="F272" t="s">
        <v>29</v>
      </c>
      <c r="G272" t="s">
        <v>30</v>
      </c>
      <c r="H272" t="s">
        <v>57</v>
      </c>
      <c r="I272" s="17">
        <v>3</v>
      </c>
      <c r="J272" s="7">
        <v>4500</v>
      </c>
      <c r="K272" s="8">
        <v>0.05</v>
      </c>
      <c r="L272" s="7">
        <v>12825</v>
      </c>
      <c r="M272" s="7">
        <f>CleanSalesTable[[#This Row],[Sales Amount]]-CleanSalesTable[[#This Row],[Unit Price]]</f>
        <v>8325</v>
      </c>
      <c r="N272" t="s">
        <v>38</v>
      </c>
      <c r="O272" t="s">
        <v>32</v>
      </c>
      <c r="P272" t="str">
        <f t="shared" si="12"/>
        <v>Low</v>
      </c>
      <c r="Q272" t="str">
        <f t="shared" si="13"/>
        <v>Profit</v>
      </c>
      <c r="R272" s="9" t="str">
        <f t="shared" si="14"/>
        <v>Jun</v>
      </c>
    </row>
    <row r="273" spans="1:18" x14ac:dyDescent="0.25">
      <c r="A273" s="5" t="s">
        <v>354</v>
      </c>
      <c r="B273" s="16">
        <v>45828</v>
      </c>
      <c r="C273" t="s">
        <v>17</v>
      </c>
      <c r="D273" t="s">
        <v>104</v>
      </c>
      <c r="E273" t="s">
        <v>19</v>
      </c>
      <c r="F273" t="s">
        <v>20</v>
      </c>
      <c r="G273" t="s">
        <v>30</v>
      </c>
      <c r="H273" t="s">
        <v>37</v>
      </c>
      <c r="I273" s="17">
        <v>4</v>
      </c>
      <c r="J273" s="7">
        <v>2800</v>
      </c>
      <c r="K273" s="8">
        <v>0.1</v>
      </c>
      <c r="L273" s="7">
        <v>10080</v>
      </c>
      <c r="M273" s="7">
        <f>CleanSalesTable[[#This Row],[Sales Amount]]-CleanSalesTable[[#This Row],[Unit Price]]</f>
        <v>7280</v>
      </c>
      <c r="N273" t="s">
        <v>50</v>
      </c>
      <c r="O273" t="s">
        <v>59</v>
      </c>
      <c r="P273" t="str">
        <f t="shared" si="12"/>
        <v>Low</v>
      </c>
      <c r="Q273" t="str">
        <f t="shared" si="13"/>
        <v>Profit</v>
      </c>
      <c r="R273" s="9" t="str">
        <f t="shared" si="14"/>
        <v>Jun</v>
      </c>
    </row>
    <row r="274" spans="1:18" x14ac:dyDescent="0.25">
      <c r="A274" s="5" t="s">
        <v>355</v>
      </c>
      <c r="B274" s="16">
        <v>45868</v>
      </c>
      <c r="C274" t="s">
        <v>84</v>
      </c>
      <c r="D274" t="s">
        <v>89</v>
      </c>
      <c r="E274" t="s">
        <v>87</v>
      </c>
      <c r="F274" t="s">
        <v>20</v>
      </c>
      <c r="G274" t="s">
        <v>30</v>
      </c>
      <c r="H274" t="s">
        <v>37</v>
      </c>
      <c r="I274" s="17">
        <v>1</v>
      </c>
      <c r="J274" s="7">
        <v>2800</v>
      </c>
      <c r="K274" s="8">
        <v>0.1</v>
      </c>
      <c r="L274" s="7">
        <v>2520</v>
      </c>
      <c r="M274" s="7">
        <f>CleanSalesTable[[#This Row],[Sales Amount]]-CleanSalesTable[[#This Row],[Unit Price]]</f>
        <v>-280</v>
      </c>
      <c r="N274" t="s">
        <v>50</v>
      </c>
      <c r="O274" t="s">
        <v>79</v>
      </c>
      <c r="P274" t="str">
        <f t="shared" si="12"/>
        <v>Low</v>
      </c>
      <c r="Q274" t="str">
        <f t="shared" si="13"/>
        <v>Loss</v>
      </c>
      <c r="R274" s="9" t="str">
        <f t="shared" si="14"/>
        <v>Jul</v>
      </c>
    </row>
    <row r="275" spans="1:18" x14ac:dyDescent="0.25">
      <c r="A275" s="5" t="s">
        <v>356</v>
      </c>
      <c r="B275" s="16">
        <v>45673</v>
      </c>
      <c r="C275" t="s">
        <v>118</v>
      </c>
      <c r="D275" t="s">
        <v>71</v>
      </c>
      <c r="E275" t="s">
        <v>72</v>
      </c>
      <c r="F275" t="s">
        <v>43</v>
      </c>
      <c r="G275" t="s">
        <v>21</v>
      </c>
      <c r="H275" t="s">
        <v>22</v>
      </c>
      <c r="I275" s="17">
        <v>1</v>
      </c>
      <c r="J275" s="7">
        <v>1500</v>
      </c>
      <c r="K275" s="8">
        <v>0</v>
      </c>
      <c r="L275" s="7">
        <v>1500</v>
      </c>
      <c r="M275" s="7">
        <f>CleanSalesTable[[#This Row],[Sales Amount]]-CleanSalesTable[[#This Row],[Unit Price]]</f>
        <v>0</v>
      </c>
      <c r="N275" t="s">
        <v>38</v>
      </c>
      <c r="O275" t="s">
        <v>32</v>
      </c>
      <c r="P275" t="str">
        <f t="shared" si="12"/>
        <v>Low</v>
      </c>
      <c r="Q275" t="str">
        <f t="shared" si="13"/>
        <v>Loss</v>
      </c>
      <c r="R275" s="9" t="str">
        <f t="shared" si="14"/>
        <v>Jan</v>
      </c>
    </row>
    <row r="276" spans="1:18" x14ac:dyDescent="0.25">
      <c r="A276" s="5" t="s">
        <v>357</v>
      </c>
      <c r="B276" s="16">
        <v>45973</v>
      </c>
      <c r="C276" t="s">
        <v>70</v>
      </c>
      <c r="D276" t="s">
        <v>47</v>
      </c>
      <c r="E276" t="s">
        <v>19</v>
      </c>
      <c r="F276" t="s">
        <v>20</v>
      </c>
      <c r="G276" t="s">
        <v>77</v>
      </c>
      <c r="H276" t="s">
        <v>99</v>
      </c>
      <c r="I276" s="17">
        <v>1</v>
      </c>
      <c r="J276" s="7">
        <v>24000</v>
      </c>
      <c r="K276" s="8">
        <v>0</v>
      </c>
      <c r="L276" s="7">
        <v>24000</v>
      </c>
      <c r="M276" s="7">
        <f>CleanSalesTable[[#This Row],[Sales Amount]]-CleanSalesTable[[#This Row],[Unit Price]]</f>
        <v>0</v>
      </c>
      <c r="N276" t="s">
        <v>23</v>
      </c>
      <c r="O276" t="s">
        <v>59</v>
      </c>
      <c r="P276" t="str">
        <f t="shared" si="12"/>
        <v>Low</v>
      </c>
      <c r="Q276" t="str">
        <f t="shared" si="13"/>
        <v>Loss</v>
      </c>
      <c r="R276" s="9" t="str">
        <f t="shared" si="14"/>
        <v>Nov</v>
      </c>
    </row>
    <row r="277" spans="1:18" x14ac:dyDescent="0.25">
      <c r="A277" s="5" t="s">
        <v>358</v>
      </c>
      <c r="B277" s="16">
        <v>45695</v>
      </c>
      <c r="C277" t="s">
        <v>84</v>
      </c>
      <c r="D277" t="s">
        <v>104</v>
      </c>
      <c r="E277" t="s">
        <v>19</v>
      </c>
      <c r="F277" t="s">
        <v>20</v>
      </c>
      <c r="G277" t="s">
        <v>54</v>
      </c>
      <c r="H277" t="s">
        <v>55</v>
      </c>
      <c r="I277" s="17">
        <v>2</v>
      </c>
      <c r="J277" s="7">
        <v>58000</v>
      </c>
      <c r="K277" s="8">
        <v>0</v>
      </c>
      <c r="L277" s="7">
        <v>116000</v>
      </c>
      <c r="M277" s="7">
        <f>CleanSalesTable[[#This Row],[Sales Amount]]-CleanSalesTable[[#This Row],[Unit Price]]</f>
        <v>58000</v>
      </c>
      <c r="N277" t="s">
        <v>38</v>
      </c>
      <c r="O277" t="s">
        <v>74</v>
      </c>
      <c r="P277" t="str">
        <f t="shared" si="12"/>
        <v>High</v>
      </c>
      <c r="Q277" t="str">
        <f t="shared" si="13"/>
        <v>Profit</v>
      </c>
      <c r="R277" s="9" t="str">
        <f t="shared" si="14"/>
        <v>Feb</v>
      </c>
    </row>
    <row r="278" spans="1:18" x14ac:dyDescent="0.25">
      <c r="A278" s="5" t="s">
        <v>359</v>
      </c>
      <c r="B278" s="16">
        <v>45805</v>
      </c>
      <c r="C278" t="s">
        <v>17</v>
      </c>
      <c r="D278" t="s">
        <v>92</v>
      </c>
      <c r="E278" t="s">
        <v>42</v>
      </c>
      <c r="F278" t="s">
        <v>43</v>
      </c>
      <c r="G278" t="s">
        <v>21</v>
      </c>
      <c r="H278" t="s">
        <v>82</v>
      </c>
      <c r="I278" s="17">
        <v>1</v>
      </c>
      <c r="J278" s="7">
        <v>900</v>
      </c>
      <c r="K278" s="8">
        <v>0</v>
      </c>
      <c r="L278" s="7">
        <v>900</v>
      </c>
      <c r="M278" s="7">
        <f>CleanSalesTable[[#This Row],[Sales Amount]]-CleanSalesTable[[#This Row],[Unit Price]]</f>
        <v>0</v>
      </c>
      <c r="N278" t="s">
        <v>50</v>
      </c>
      <c r="O278" t="s">
        <v>24</v>
      </c>
      <c r="P278" t="str">
        <f t="shared" si="12"/>
        <v>Low</v>
      </c>
      <c r="Q278" t="str">
        <f t="shared" si="13"/>
        <v>Loss</v>
      </c>
      <c r="R278" s="9" t="str">
        <f t="shared" si="14"/>
        <v>May</v>
      </c>
    </row>
    <row r="279" spans="1:18" x14ac:dyDescent="0.25">
      <c r="A279" s="5" t="s">
        <v>360</v>
      </c>
      <c r="B279" s="16">
        <v>45955</v>
      </c>
      <c r="C279" t="s">
        <v>84</v>
      </c>
      <c r="D279" t="s">
        <v>27</v>
      </c>
      <c r="E279" t="s">
        <v>28</v>
      </c>
      <c r="F279" t="s">
        <v>29</v>
      </c>
      <c r="G279" t="s">
        <v>54</v>
      </c>
      <c r="H279" t="s">
        <v>68</v>
      </c>
      <c r="I279" s="17">
        <v>2</v>
      </c>
      <c r="J279" s="7">
        <v>52000</v>
      </c>
      <c r="K279" s="8">
        <v>0.15</v>
      </c>
      <c r="L279" s="7">
        <v>88400</v>
      </c>
      <c r="M279" s="7">
        <f>CleanSalesTable[[#This Row],[Sales Amount]]-CleanSalesTable[[#This Row],[Unit Price]]</f>
        <v>36400</v>
      </c>
      <c r="N279" t="s">
        <v>23</v>
      </c>
      <c r="O279" t="s">
        <v>97</v>
      </c>
      <c r="P279" t="str">
        <f t="shared" si="12"/>
        <v>Medium</v>
      </c>
      <c r="Q279" t="str">
        <f t="shared" si="13"/>
        <v>Profit</v>
      </c>
      <c r="R279" s="9" t="str">
        <f t="shared" si="14"/>
        <v>Oct</v>
      </c>
    </row>
    <row r="280" spans="1:18" x14ac:dyDescent="0.25">
      <c r="A280" s="5" t="s">
        <v>361</v>
      </c>
      <c r="B280" s="16">
        <v>45718</v>
      </c>
      <c r="C280" t="s">
        <v>53</v>
      </c>
      <c r="D280" t="s">
        <v>110</v>
      </c>
      <c r="E280" t="s">
        <v>72</v>
      </c>
      <c r="F280" t="s">
        <v>43</v>
      </c>
      <c r="G280" t="s">
        <v>21</v>
      </c>
      <c r="H280" t="s">
        <v>22</v>
      </c>
      <c r="I280" s="17">
        <v>4</v>
      </c>
      <c r="J280" s="7">
        <v>1500</v>
      </c>
      <c r="K280" s="8">
        <v>0.15</v>
      </c>
      <c r="L280" s="7">
        <v>5100</v>
      </c>
      <c r="M280" s="7">
        <f>CleanSalesTable[[#This Row],[Sales Amount]]-CleanSalesTable[[#This Row],[Unit Price]]</f>
        <v>3600</v>
      </c>
      <c r="N280" t="s">
        <v>58</v>
      </c>
      <c r="O280" t="s">
        <v>51</v>
      </c>
      <c r="P280" t="str">
        <f t="shared" si="12"/>
        <v>Low</v>
      </c>
      <c r="Q280" t="str">
        <f t="shared" si="13"/>
        <v>Profit</v>
      </c>
      <c r="R280" s="9" t="str">
        <f t="shared" si="14"/>
        <v>Mar</v>
      </c>
    </row>
    <row r="281" spans="1:18" x14ac:dyDescent="0.25">
      <c r="A281" s="5" t="s">
        <v>362</v>
      </c>
      <c r="B281" s="16">
        <v>45673</v>
      </c>
      <c r="C281" t="s">
        <v>118</v>
      </c>
      <c r="D281" t="s">
        <v>110</v>
      </c>
      <c r="E281" t="s">
        <v>72</v>
      </c>
      <c r="F281" t="s">
        <v>43</v>
      </c>
      <c r="G281" t="s">
        <v>77</v>
      </c>
      <c r="H281" t="s">
        <v>78</v>
      </c>
      <c r="I281" s="17">
        <v>3</v>
      </c>
      <c r="J281" s="7">
        <v>21000</v>
      </c>
      <c r="K281" s="8">
        <v>0.1</v>
      </c>
      <c r="L281" s="7">
        <v>56700</v>
      </c>
      <c r="M281" s="7">
        <f>CleanSalesTable[[#This Row],[Sales Amount]]-CleanSalesTable[[#This Row],[Unit Price]]</f>
        <v>35700</v>
      </c>
      <c r="N281" t="s">
        <v>23</v>
      </c>
      <c r="O281" t="s">
        <v>39</v>
      </c>
      <c r="P281" t="str">
        <f t="shared" si="12"/>
        <v>Medium</v>
      </c>
      <c r="Q281" t="str">
        <f t="shared" si="13"/>
        <v>Profit</v>
      </c>
      <c r="R281" s="9" t="str">
        <f t="shared" si="14"/>
        <v>Jan</v>
      </c>
    </row>
    <row r="282" spans="1:18" x14ac:dyDescent="0.25">
      <c r="A282" s="5" t="s">
        <v>363</v>
      </c>
      <c r="B282" s="16">
        <v>45999</v>
      </c>
      <c r="C282" t="s">
        <v>17</v>
      </c>
      <c r="D282" t="s">
        <v>102</v>
      </c>
      <c r="E282" t="s">
        <v>36</v>
      </c>
      <c r="F282" t="s">
        <v>29</v>
      </c>
      <c r="G282" t="s">
        <v>30</v>
      </c>
      <c r="H282" t="s">
        <v>37</v>
      </c>
      <c r="I282" s="17">
        <v>2</v>
      </c>
      <c r="J282" s="7">
        <v>2800</v>
      </c>
      <c r="K282" s="8">
        <v>0</v>
      </c>
      <c r="L282" s="7">
        <v>5600</v>
      </c>
      <c r="M282" s="7">
        <f>CleanSalesTable[[#This Row],[Sales Amount]]-CleanSalesTable[[#This Row],[Unit Price]]</f>
        <v>2800</v>
      </c>
      <c r="N282" t="s">
        <v>73</v>
      </c>
      <c r="O282" t="s">
        <v>59</v>
      </c>
      <c r="P282" t="str">
        <f t="shared" si="12"/>
        <v>Low</v>
      </c>
      <c r="Q282" t="str">
        <f t="shared" si="13"/>
        <v>Profit</v>
      </c>
      <c r="R282" s="9" t="str">
        <f t="shared" si="14"/>
        <v>Dec</v>
      </c>
    </row>
    <row r="283" spans="1:18" x14ac:dyDescent="0.25">
      <c r="A283" s="5" t="s">
        <v>364</v>
      </c>
      <c r="B283" s="16">
        <v>45778</v>
      </c>
      <c r="C283" t="s">
        <v>61</v>
      </c>
      <c r="D283" t="s">
        <v>41</v>
      </c>
      <c r="E283" t="s">
        <v>42</v>
      </c>
      <c r="F283" t="s">
        <v>43</v>
      </c>
      <c r="G283" t="s">
        <v>77</v>
      </c>
      <c r="H283" t="s">
        <v>99</v>
      </c>
      <c r="I283" s="17">
        <v>4</v>
      </c>
      <c r="J283" s="7">
        <v>24000</v>
      </c>
      <c r="K283" s="8">
        <v>0.1</v>
      </c>
      <c r="L283" s="7">
        <v>86400</v>
      </c>
      <c r="M283" s="7">
        <f>CleanSalesTable[[#This Row],[Sales Amount]]-CleanSalesTable[[#This Row],[Unit Price]]</f>
        <v>62400</v>
      </c>
      <c r="N283" t="s">
        <v>23</v>
      </c>
      <c r="O283" t="s">
        <v>74</v>
      </c>
      <c r="P283" t="str">
        <f t="shared" si="12"/>
        <v>Medium</v>
      </c>
      <c r="Q283" t="str">
        <f t="shared" si="13"/>
        <v>Profit</v>
      </c>
      <c r="R283" s="9" t="str">
        <f t="shared" si="14"/>
        <v>May</v>
      </c>
    </row>
    <row r="284" spans="1:18" x14ac:dyDescent="0.25">
      <c r="A284" s="5" t="s">
        <v>365</v>
      </c>
      <c r="B284" s="16">
        <v>45682</v>
      </c>
      <c r="C284" t="s">
        <v>61</v>
      </c>
      <c r="D284" t="s">
        <v>102</v>
      </c>
      <c r="E284" t="s">
        <v>36</v>
      </c>
      <c r="F284" t="s">
        <v>29</v>
      </c>
      <c r="G284" t="s">
        <v>30</v>
      </c>
      <c r="H284" t="s">
        <v>57</v>
      </c>
      <c r="I284" s="17">
        <v>1</v>
      </c>
      <c r="J284" s="7">
        <v>4500</v>
      </c>
      <c r="K284" s="8">
        <v>0</v>
      </c>
      <c r="L284" s="7">
        <v>4500</v>
      </c>
      <c r="M284" s="7">
        <f>CleanSalesTable[[#This Row],[Sales Amount]]-CleanSalesTable[[#This Row],[Unit Price]]</f>
        <v>0</v>
      </c>
      <c r="N284" t="s">
        <v>23</v>
      </c>
      <c r="O284" t="s">
        <v>24</v>
      </c>
      <c r="P284" t="str">
        <f t="shared" si="12"/>
        <v>Low</v>
      </c>
      <c r="Q284" t="str">
        <f t="shared" si="13"/>
        <v>Loss</v>
      </c>
      <c r="R284" s="9" t="str">
        <f t="shared" si="14"/>
        <v>Jan</v>
      </c>
    </row>
    <row r="285" spans="1:18" x14ac:dyDescent="0.25">
      <c r="A285" s="5" t="s">
        <v>366</v>
      </c>
      <c r="B285" s="16">
        <v>45883</v>
      </c>
      <c r="C285" t="s">
        <v>34</v>
      </c>
      <c r="D285" t="s">
        <v>89</v>
      </c>
      <c r="E285" t="s">
        <v>87</v>
      </c>
      <c r="F285" t="s">
        <v>20</v>
      </c>
      <c r="G285" t="s">
        <v>77</v>
      </c>
      <c r="H285" t="s">
        <v>99</v>
      </c>
      <c r="I285" s="17">
        <v>2</v>
      </c>
      <c r="J285" s="7">
        <v>24000</v>
      </c>
      <c r="K285" s="8">
        <v>0</v>
      </c>
      <c r="L285" s="7">
        <v>48000</v>
      </c>
      <c r="M285" s="7">
        <f>CleanSalesTable[[#This Row],[Sales Amount]]-CleanSalesTable[[#This Row],[Unit Price]]</f>
        <v>24000</v>
      </c>
      <c r="N285" t="s">
        <v>73</v>
      </c>
      <c r="O285" t="s">
        <v>32</v>
      </c>
      <c r="P285" t="str">
        <f t="shared" si="12"/>
        <v>Medium</v>
      </c>
      <c r="Q285" t="str">
        <f t="shared" si="13"/>
        <v>Profit</v>
      </c>
      <c r="R285" s="9" t="str">
        <f t="shared" si="14"/>
        <v>Aug</v>
      </c>
    </row>
    <row r="286" spans="1:18" x14ac:dyDescent="0.25">
      <c r="A286" s="5" t="s">
        <v>367</v>
      </c>
      <c r="B286" s="16">
        <v>45703</v>
      </c>
      <c r="C286" t="s">
        <v>61</v>
      </c>
      <c r="D286" t="s">
        <v>104</v>
      </c>
      <c r="E286" t="s">
        <v>19</v>
      </c>
      <c r="F286" t="s">
        <v>20</v>
      </c>
      <c r="G286" t="s">
        <v>77</v>
      </c>
      <c r="H286" t="s">
        <v>78</v>
      </c>
      <c r="I286" s="17">
        <v>2</v>
      </c>
      <c r="J286" s="7">
        <v>21000</v>
      </c>
      <c r="K286" s="8">
        <v>0</v>
      </c>
      <c r="L286" s="7">
        <v>42000</v>
      </c>
      <c r="M286" s="7">
        <f>CleanSalesTable[[#This Row],[Sales Amount]]-CleanSalesTable[[#This Row],[Unit Price]]</f>
        <v>21000</v>
      </c>
      <c r="N286" t="s">
        <v>50</v>
      </c>
      <c r="O286" t="s">
        <v>74</v>
      </c>
      <c r="P286" t="str">
        <f t="shared" si="12"/>
        <v>Medium</v>
      </c>
      <c r="Q286" t="str">
        <f t="shared" si="13"/>
        <v>Profit</v>
      </c>
      <c r="R286" s="9" t="str">
        <f t="shared" si="14"/>
        <v>Feb</v>
      </c>
    </row>
    <row r="287" spans="1:18" x14ac:dyDescent="0.25">
      <c r="A287" s="5" t="s">
        <v>368</v>
      </c>
      <c r="B287" s="16">
        <v>45797</v>
      </c>
      <c r="C287" t="s">
        <v>84</v>
      </c>
      <c r="D287" t="s">
        <v>62</v>
      </c>
      <c r="E287" t="s">
        <v>28</v>
      </c>
      <c r="F287" t="s">
        <v>29</v>
      </c>
      <c r="G287" t="s">
        <v>77</v>
      </c>
      <c r="H287" t="s">
        <v>99</v>
      </c>
      <c r="I287" s="17">
        <v>3</v>
      </c>
      <c r="J287" s="7">
        <v>24000</v>
      </c>
      <c r="K287" s="8">
        <v>0.15</v>
      </c>
      <c r="L287" s="7">
        <v>61200</v>
      </c>
      <c r="M287" s="7">
        <f>CleanSalesTable[[#This Row],[Sales Amount]]-CleanSalesTable[[#This Row],[Unit Price]]</f>
        <v>37200</v>
      </c>
      <c r="N287" t="s">
        <v>73</v>
      </c>
      <c r="O287" t="s">
        <v>97</v>
      </c>
      <c r="P287" t="str">
        <f t="shared" si="12"/>
        <v>Medium</v>
      </c>
      <c r="Q287" t="str">
        <f t="shared" si="13"/>
        <v>Profit</v>
      </c>
      <c r="R287" s="9" t="str">
        <f t="shared" si="14"/>
        <v>May</v>
      </c>
    </row>
    <row r="288" spans="1:18" x14ac:dyDescent="0.25">
      <c r="A288" s="5" t="s">
        <v>369</v>
      </c>
      <c r="B288" s="16">
        <v>45795</v>
      </c>
      <c r="C288" t="s">
        <v>34</v>
      </c>
      <c r="D288" t="s">
        <v>27</v>
      </c>
      <c r="E288" t="s">
        <v>28</v>
      </c>
      <c r="F288" t="s">
        <v>29</v>
      </c>
      <c r="G288" t="s">
        <v>30</v>
      </c>
      <c r="H288" t="s">
        <v>37</v>
      </c>
      <c r="I288" s="17">
        <v>2</v>
      </c>
      <c r="J288" s="7">
        <v>2800</v>
      </c>
      <c r="K288" s="8">
        <v>0.15</v>
      </c>
      <c r="L288" s="7">
        <v>4760</v>
      </c>
      <c r="M288" s="7">
        <f>CleanSalesTable[[#This Row],[Sales Amount]]-CleanSalesTable[[#This Row],[Unit Price]]</f>
        <v>1960</v>
      </c>
      <c r="N288" t="s">
        <v>23</v>
      </c>
      <c r="O288" t="s">
        <v>74</v>
      </c>
      <c r="P288" t="str">
        <f t="shared" si="12"/>
        <v>Low</v>
      </c>
      <c r="Q288" t="str">
        <f t="shared" si="13"/>
        <v>Profit</v>
      </c>
      <c r="R288" s="9" t="str">
        <f t="shared" si="14"/>
        <v>May</v>
      </c>
    </row>
    <row r="289" spans="1:18" x14ac:dyDescent="0.25">
      <c r="A289" s="5" t="s">
        <v>370</v>
      </c>
      <c r="B289" s="16">
        <v>45776</v>
      </c>
      <c r="C289" t="s">
        <v>61</v>
      </c>
      <c r="D289" t="s">
        <v>92</v>
      </c>
      <c r="E289" t="s">
        <v>42</v>
      </c>
      <c r="F289" t="s">
        <v>43</v>
      </c>
      <c r="G289" t="s">
        <v>54</v>
      </c>
      <c r="H289" t="s">
        <v>55</v>
      </c>
      <c r="I289" s="17">
        <v>3</v>
      </c>
      <c r="J289" s="7">
        <v>58000</v>
      </c>
      <c r="K289" s="8">
        <v>0.1</v>
      </c>
      <c r="L289" s="7">
        <v>156600</v>
      </c>
      <c r="M289" s="7">
        <f>CleanSalesTable[[#This Row],[Sales Amount]]-CleanSalesTable[[#This Row],[Unit Price]]</f>
        <v>98600</v>
      </c>
      <c r="N289" t="s">
        <v>50</v>
      </c>
      <c r="O289" t="s">
        <v>79</v>
      </c>
      <c r="P289" t="str">
        <f t="shared" si="12"/>
        <v>High</v>
      </c>
      <c r="Q289" t="str">
        <f t="shared" si="13"/>
        <v>Profit</v>
      </c>
      <c r="R289" s="9" t="str">
        <f t="shared" si="14"/>
        <v>Apr</v>
      </c>
    </row>
    <row r="290" spans="1:18" x14ac:dyDescent="0.25">
      <c r="A290" s="5" t="s">
        <v>371</v>
      </c>
      <c r="B290" s="16">
        <v>45688</v>
      </c>
      <c r="C290" t="s">
        <v>84</v>
      </c>
      <c r="D290" t="s">
        <v>67</v>
      </c>
      <c r="E290" t="s">
        <v>36</v>
      </c>
      <c r="F290" t="s">
        <v>29</v>
      </c>
      <c r="G290" t="s">
        <v>30</v>
      </c>
      <c r="H290" t="s">
        <v>37</v>
      </c>
      <c r="I290" s="17">
        <v>4</v>
      </c>
      <c r="J290" s="7">
        <v>2800</v>
      </c>
      <c r="K290" s="8">
        <v>0.05</v>
      </c>
      <c r="L290" s="7">
        <v>10640</v>
      </c>
      <c r="M290" s="7">
        <f>CleanSalesTable[[#This Row],[Sales Amount]]-CleanSalesTable[[#This Row],[Unit Price]]</f>
        <v>7840</v>
      </c>
      <c r="N290" t="s">
        <v>50</v>
      </c>
      <c r="O290" t="s">
        <v>51</v>
      </c>
      <c r="P290" t="str">
        <f t="shared" si="12"/>
        <v>Low</v>
      </c>
      <c r="Q290" t="str">
        <f t="shared" si="13"/>
        <v>Profit</v>
      </c>
      <c r="R290" s="9" t="str">
        <f t="shared" si="14"/>
        <v>Jan</v>
      </c>
    </row>
    <row r="291" spans="1:18" x14ac:dyDescent="0.25">
      <c r="A291" s="5" t="s">
        <v>372</v>
      </c>
      <c r="B291" s="16">
        <v>45764</v>
      </c>
      <c r="C291" t="s">
        <v>26</v>
      </c>
      <c r="D291" t="s">
        <v>47</v>
      </c>
      <c r="E291" t="s">
        <v>19</v>
      </c>
      <c r="F291" t="s">
        <v>20</v>
      </c>
      <c r="G291" t="s">
        <v>21</v>
      </c>
      <c r="H291" t="s">
        <v>22</v>
      </c>
      <c r="I291" s="17">
        <v>4</v>
      </c>
      <c r="J291" s="7">
        <v>1500</v>
      </c>
      <c r="K291" s="8">
        <v>0.05</v>
      </c>
      <c r="L291" s="7">
        <v>5700</v>
      </c>
      <c r="M291" s="7">
        <f>CleanSalesTable[[#This Row],[Sales Amount]]-CleanSalesTable[[#This Row],[Unit Price]]</f>
        <v>4200</v>
      </c>
      <c r="N291" t="s">
        <v>50</v>
      </c>
      <c r="O291" t="s">
        <v>59</v>
      </c>
      <c r="P291" t="str">
        <f t="shared" si="12"/>
        <v>Low</v>
      </c>
      <c r="Q291" t="str">
        <f t="shared" si="13"/>
        <v>Profit</v>
      </c>
      <c r="R291" s="9" t="str">
        <f t="shared" si="14"/>
        <v>Apr</v>
      </c>
    </row>
    <row r="292" spans="1:18" x14ac:dyDescent="0.25">
      <c r="A292" s="5" t="s">
        <v>373</v>
      </c>
      <c r="B292" s="16">
        <v>45980</v>
      </c>
      <c r="C292" t="s">
        <v>118</v>
      </c>
      <c r="D292" t="s">
        <v>92</v>
      </c>
      <c r="E292" t="s">
        <v>42</v>
      </c>
      <c r="F292" t="s">
        <v>43</v>
      </c>
      <c r="G292" t="s">
        <v>21</v>
      </c>
      <c r="H292" t="s">
        <v>82</v>
      </c>
      <c r="I292" s="17">
        <v>2</v>
      </c>
      <c r="J292" s="7">
        <v>900</v>
      </c>
      <c r="K292" s="8">
        <v>0</v>
      </c>
      <c r="L292" s="7">
        <v>1800</v>
      </c>
      <c r="M292" s="7">
        <f>CleanSalesTable[[#This Row],[Sales Amount]]-CleanSalesTable[[#This Row],[Unit Price]]</f>
        <v>900</v>
      </c>
      <c r="N292" t="s">
        <v>58</v>
      </c>
      <c r="O292" t="s">
        <v>32</v>
      </c>
      <c r="P292" t="str">
        <f t="shared" si="12"/>
        <v>Low</v>
      </c>
      <c r="Q292" t="str">
        <f t="shared" si="13"/>
        <v>Profit</v>
      </c>
      <c r="R292" s="9" t="str">
        <f t="shared" si="14"/>
        <v>Nov</v>
      </c>
    </row>
    <row r="293" spans="1:18" x14ac:dyDescent="0.25">
      <c r="A293" s="5" t="s">
        <v>374</v>
      </c>
      <c r="B293" s="16">
        <v>45786</v>
      </c>
      <c r="C293" t="s">
        <v>46</v>
      </c>
      <c r="D293" t="s">
        <v>104</v>
      </c>
      <c r="E293" t="s">
        <v>19</v>
      </c>
      <c r="F293" t="s">
        <v>20</v>
      </c>
      <c r="G293" t="s">
        <v>21</v>
      </c>
      <c r="H293" t="s">
        <v>22</v>
      </c>
      <c r="I293" s="17">
        <v>1</v>
      </c>
      <c r="J293" s="7">
        <v>1500</v>
      </c>
      <c r="K293" s="8">
        <v>0</v>
      </c>
      <c r="L293" s="7">
        <v>1500</v>
      </c>
      <c r="M293" s="7">
        <f>CleanSalesTable[[#This Row],[Sales Amount]]-CleanSalesTable[[#This Row],[Unit Price]]</f>
        <v>0</v>
      </c>
      <c r="N293" t="s">
        <v>73</v>
      </c>
      <c r="O293" t="s">
        <v>59</v>
      </c>
      <c r="P293" t="str">
        <f t="shared" si="12"/>
        <v>Low</v>
      </c>
      <c r="Q293" t="str">
        <f t="shared" si="13"/>
        <v>Loss</v>
      </c>
      <c r="R293" s="9" t="str">
        <f t="shared" si="14"/>
        <v>May</v>
      </c>
    </row>
    <row r="294" spans="1:18" x14ac:dyDescent="0.25">
      <c r="A294" s="5" t="s">
        <v>375</v>
      </c>
      <c r="B294" s="16">
        <v>45669</v>
      </c>
      <c r="C294" t="s">
        <v>53</v>
      </c>
      <c r="D294" t="s">
        <v>27</v>
      </c>
      <c r="E294" t="s">
        <v>28</v>
      </c>
      <c r="F294" t="s">
        <v>29</v>
      </c>
      <c r="G294" t="s">
        <v>30</v>
      </c>
      <c r="H294" t="s">
        <v>31</v>
      </c>
      <c r="I294" s="17">
        <v>4</v>
      </c>
      <c r="J294" s="7">
        <v>3200</v>
      </c>
      <c r="K294" s="8">
        <v>0</v>
      </c>
      <c r="L294" s="7">
        <v>12800</v>
      </c>
      <c r="M294" s="7">
        <f>CleanSalesTable[[#This Row],[Sales Amount]]-CleanSalesTable[[#This Row],[Unit Price]]</f>
        <v>9600</v>
      </c>
      <c r="N294" t="s">
        <v>23</v>
      </c>
      <c r="O294" t="s">
        <v>51</v>
      </c>
      <c r="P294" t="str">
        <f t="shared" si="12"/>
        <v>Low</v>
      </c>
      <c r="Q294" t="str">
        <f t="shared" si="13"/>
        <v>Profit</v>
      </c>
      <c r="R294" s="9" t="str">
        <f t="shared" si="14"/>
        <v>Jan</v>
      </c>
    </row>
    <row r="295" spans="1:18" x14ac:dyDescent="0.25">
      <c r="A295" s="5" t="s">
        <v>376</v>
      </c>
      <c r="B295" s="16">
        <v>45878</v>
      </c>
      <c r="C295" t="s">
        <v>17</v>
      </c>
      <c r="D295" t="s">
        <v>81</v>
      </c>
      <c r="E295" t="s">
        <v>72</v>
      </c>
      <c r="F295" t="s">
        <v>43</v>
      </c>
      <c r="G295" t="s">
        <v>21</v>
      </c>
      <c r="H295" t="s">
        <v>82</v>
      </c>
      <c r="I295" s="17">
        <v>4</v>
      </c>
      <c r="J295" s="7">
        <v>900</v>
      </c>
      <c r="K295" s="8">
        <v>0.05</v>
      </c>
      <c r="L295" s="7">
        <v>3420</v>
      </c>
      <c r="M295" s="7">
        <f>CleanSalesTable[[#This Row],[Sales Amount]]-CleanSalesTable[[#This Row],[Unit Price]]</f>
        <v>2520</v>
      </c>
      <c r="N295" t="s">
        <v>23</v>
      </c>
      <c r="O295" t="s">
        <v>51</v>
      </c>
      <c r="P295" t="str">
        <f t="shared" si="12"/>
        <v>Low</v>
      </c>
      <c r="Q295" t="str">
        <f t="shared" si="13"/>
        <v>Profit</v>
      </c>
      <c r="R295" s="9" t="str">
        <f t="shared" si="14"/>
        <v>Aug</v>
      </c>
    </row>
    <row r="296" spans="1:18" x14ac:dyDescent="0.25">
      <c r="A296" s="5" t="s">
        <v>377</v>
      </c>
      <c r="B296" s="16">
        <v>45732</v>
      </c>
      <c r="C296" t="s">
        <v>46</v>
      </c>
      <c r="D296" t="s">
        <v>89</v>
      </c>
      <c r="E296" t="s">
        <v>87</v>
      </c>
      <c r="F296" t="s">
        <v>20</v>
      </c>
      <c r="G296" t="s">
        <v>21</v>
      </c>
      <c r="H296" t="s">
        <v>22</v>
      </c>
      <c r="I296" s="17">
        <v>1</v>
      </c>
      <c r="J296" s="7">
        <v>1500</v>
      </c>
      <c r="K296" s="8">
        <v>0</v>
      </c>
      <c r="L296" s="7">
        <v>1500</v>
      </c>
      <c r="M296" s="7">
        <f>CleanSalesTable[[#This Row],[Sales Amount]]-CleanSalesTable[[#This Row],[Unit Price]]</f>
        <v>0</v>
      </c>
      <c r="N296" t="s">
        <v>73</v>
      </c>
      <c r="O296" t="s">
        <v>32</v>
      </c>
      <c r="P296" t="str">
        <f t="shared" si="12"/>
        <v>Low</v>
      </c>
      <c r="Q296" t="str">
        <f t="shared" si="13"/>
        <v>Loss</v>
      </c>
      <c r="R296" s="9" t="str">
        <f t="shared" si="14"/>
        <v>Mar</v>
      </c>
    </row>
    <row r="297" spans="1:18" x14ac:dyDescent="0.25">
      <c r="A297" s="5" t="s">
        <v>378</v>
      </c>
      <c r="B297" s="16">
        <v>45877</v>
      </c>
      <c r="C297" t="s">
        <v>34</v>
      </c>
      <c r="D297" t="s">
        <v>81</v>
      </c>
      <c r="E297" t="s">
        <v>72</v>
      </c>
      <c r="F297" t="s">
        <v>43</v>
      </c>
      <c r="G297" t="s">
        <v>30</v>
      </c>
      <c r="H297" t="s">
        <v>57</v>
      </c>
      <c r="I297" s="17">
        <v>4</v>
      </c>
      <c r="J297" s="7">
        <v>4500</v>
      </c>
      <c r="K297" s="8">
        <v>0.1</v>
      </c>
      <c r="L297" s="7">
        <v>16200</v>
      </c>
      <c r="M297" s="7">
        <f>CleanSalesTable[[#This Row],[Sales Amount]]-CleanSalesTable[[#This Row],[Unit Price]]</f>
        <v>11700</v>
      </c>
      <c r="N297" t="s">
        <v>73</v>
      </c>
      <c r="O297" t="s">
        <v>32</v>
      </c>
      <c r="P297" t="str">
        <f t="shared" si="12"/>
        <v>Low</v>
      </c>
      <c r="Q297" t="str">
        <f t="shared" si="13"/>
        <v>Profit</v>
      </c>
      <c r="R297" s="9" t="str">
        <f t="shared" si="14"/>
        <v>Aug</v>
      </c>
    </row>
    <row r="298" spans="1:18" x14ac:dyDescent="0.25">
      <c r="A298" s="5" t="s">
        <v>379</v>
      </c>
      <c r="B298" s="16">
        <v>45955</v>
      </c>
      <c r="C298" t="s">
        <v>61</v>
      </c>
      <c r="D298" t="s">
        <v>67</v>
      </c>
      <c r="E298" t="s">
        <v>36</v>
      </c>
      <c r="F298" t="s">
        <v>29</v>
      </c>
      <c r="G298" t="s">
        <v>48</v>
      </c>
      <c r="H298" t="s">
        <v>49</v>
      </c>
      <c r="I298" s="17">
        <v>1</v>
      </c>
      <c r="J298" s="7">
        <v>13500</v>
      </c>
      <c r="K298" s="8">
        <v>0.15</v>
      </c>
      <c r="L298" s="7">
        <v>11475</v>
      </c>
      <c r="M298" s="7">
        <f>CleanSalesTable[[#This Row],[Sales Amount]]-CleanSalesTable[[#This Row],[Unit Price]]</f>
        <v>-2025</v>
      </c>
      <c r="N298" t="s">
        <v>50</v>
      </c>
      <c r="O298" t="s">
        <v>74</v>
      </c>
      <c r="P298" t="str">
        <f t="shared" si="12"/>
        <v>Low</v>
      </c>
      <c r="Q298" t="str">
        <f t="shared" si="13"/>
        <v>Loss</v>
      </c>
      <c r="R298" s="9" t="str">
        <f t="shared" si="14"/>
        <v>Oct</v>
      </c>
    </row>
    <row r="299" spans="1:18" x14ac:dyDescent="0.25">
      <c r="A299" s="5" t="s">
        <v>380</v>
      </c>
      <c r="B299" s="16">
        <v>45721</v>
      </c>
      <c r="C299" t="s">
        <v>26</v>
      </c>
      <c r="D299" t="s">
        <v>76</v>
      </c>
      <c r="E299" t="s">
        <v>42</v>
      </c>
      <c r="F299" t="s">
        <v>43</v>
      </c>
      <c r="G299" t="s">
        <v>21</v>
      </c>
      <c r="H299" t="s">
        <v>82</v>
      </c>
      <c r="I299" s="17">
        <v>4</v>
      </c>
      <c r="J299" s="7">
        <v>900</v>
      </c>
      <c r="K299" s="8">
        <v>0.15</v>
      </c>
      <c r="L299" s="7">
        <v>3060</v>
      </c>
      <c r="M299" s="7">
        <f>CleanSalesTable[[#This Row],[Sales Amount]]-CleanSalesTable[[#This Row],[Unit Price]]</f>
        <v>2160</v>
      </c>
      <c r="N299" t="s">
        <v>38</v>
      </c>
      <c r="O299" t="s">
        <v>74</v>
      </c>
      <c r="P299" t="str">
        <f t="shared" si="12"/>
        <v>Low</v>
      </c>
      <c r="Q299" t="str">
        <f t="shared" si="13"/>
        <v>Profit</v>
      </c>
      <c r="R299" s="9" t="str">
        <f t="shared" si="14"/>
        <v>Mar</v>
      </c>
    </row>
    <row r="300" spans="1:18" x14ac:dyDescent="0.25">
      <c r="A300" s="5" t="s">
        <v>381</v>
      </c>
      <c r="B300" s="16">
        <v>45704</v>
      </c>
      <c r="C300" t="s">
        <v>34</v>
      </c>
      <c r="D300" t="s">
        <v>18</v>
      </c>
      <c r="E300" t="s">
        <v>19</v>
      </c>
      <c r="F300" t="s">
        <v>20</v>
      </c>
      <c r="G300" t="s">
        <v>48</v>
      </c>
      <c r="H300" t="s">
        <v>105</v>
      </c>
      <c r="I300" s="17">
        <v>4</v>
      </c>
      <c r="J300" s="7">
        <v>21000</v>
      </c>
      <c r="K300" s="8">
        <v>0.1</v>
      </c>
      <c r="L300" s="7">
        <v>75600</v>
      </c>
      <c r="M300" s="7">
        <f>CleanSalesTable[[#This Row],[Sales Amount]]-CleanSalesTable[[#This Row],[Unit Price]]</f>
        <v>54600</v>
      </c>
      <c r="N300" t="s">
        <v>58</v>
      </c>
      <c r="O300" t="s">
        <v>24</v>
      </c>
      <c r="P300" t="str">
        <f t="shared" si="12"/>
        <v>Medium</v>
      </c>
      <c r="Q300" t="str">
        <f t="shared" si="13"/>
        <v>Profit</v>
      </c>
      <c r="R300" s="9" t="str">
        <f t="shared" si="14"/>
        <v>Feb</v>
      </c>
    </row>
    <row r="301" spans="1:18" x14ac:dyDescent="0.25">
      <c r="A301" s="5" t="s">
        <v>382</v>
      </c>
      <c r="B301" s="16">
        <v>45830</v>
      </c>
      <c r="C301" t="s">
        <v>61</v>
      </c>
      <c r="D301" t="s">
        <v>71</v>
      </c>
      <c r="E301" t="s">
        <v>72</v>
      </c>
      <c r="F301" t="s">
        <v>43</v>
      </c>
      <c r="G301" t="s">
        <v>21</v>
      </c>
      <c r="H301" t="s">
        <v>22</v>
      </c>
      <c r="I301" s="17">
        <v>3</v>
      </c>
      <c r="J301" s="7">
        <v>1500</v>
      </c>
      <c r="K301" s="8">
        <v>0.1</v>
      </c>
      <c r="L301" s="7">
        <v>4050</v>
      </c>
      <c r="M301" s="7">
        <f>CleanSalesTable[[#This Row],[Sales Amount]]-CleanSalesTable[[#This Row],[Unit Price]]</f>
        <v>2550</v>
      </c>
      <c r="N301" t="s">
        <v>50</v>
      </c>
      <c r="O301" t="s">
        <v>74</v>
      </c>
      <c r="P301" t="str">
        <f t="shared" si="12"/>
        <v>Low</v>
      </c>
      <c r="Q301" t="str">
        <f t="shared" si="13"/>
        <v>Profit</v>
      </c>
      <c r="R301" s="9" t="str">
        <f t="shared" si="14"/>
        <v>Jun</v>
      </c>
    </row>
    <row r="302" spans="1:18" x14ac:dyDescent="0.25">
      <c r="A302" s="5" t="s">
        <v>383</v>
      </c>
      <c r="B302" s="16">
        <v>45932</v>
      </c>
      <c r="C302" t="s">
        <v>94</v>
      </c>
      <c r="D302" t="s">
        <v>35</v>
      </c>
      <c r="E302" t="s">
        <v>36</v>
      </c>
      <c r="F302" t="s">
        <v>29</v>
      </c>
      <c r="G302" t="s">
        <v>21</v>
      </c>
      <c r="H302" t="s">
        <v>44</v>
      </c>
      <c r="I302" s="17">
        <v>1</v>
      </c>
      <c r="J302" s="7">
        <v>1200</v>
      </c>
      <c r="K302" s="8">
        <v>0</v>
      </c>
      <c r="L302" s="7">
        <v>1200</v>
      </c>
      <c r="M302" s="7">
        <f>CleanSalesTable[[#This Row],[Sales Amount]]-CleanSalesTable[[#This Row],[Unit Price]]</f>
        <v>0</v>
      </c>
      <c r="N302" t="s">
        <v>38</v>
      </c>
      <c r="O302" t="s">
        <v>32</v>
      </c>
      <c r="P302" t="str">
        <f t="shared" si="12"/>
        <v>Low</v>
      </c>
      <c r="Q302" t="str">
        <f t="shared" si="13"/>
        <v>Loss</v>
      </c>
      <c r="R302" s="9" t="str">
        <f t="shared" si="14"/>
        <v>Oct</v>
      </c>
    </row>
    <row r="303" spans="1:18" x14ac:dyDescent="0.25">
      <c r="A303" s="5" t="s">
        <v>384</v>
      </c>
      <c r="B303" s="16">
        <v>45995</v>
      </c>
      <c r="C303" t="s">
        <v>94</v>
      </c>
      <c r="D303" t="s">
        <v>95</v>
      </c>
      <c r="E303" t="s">
        <v>87</v>
      </c>
      <c r="F303" t="s">
        <v>20</v>
      </c>
      <c r="G303" t="s">
        <v>77</v>
      </c>
      <c r="H303" t="s">
        <v>78</v>
      </c>
      <c r="I303" s="17">
        <v>4</v>
      </c>
      <c r="J303" s="7">
        <v>21000</v>
      </c>
      <c r="K303" s="8">
        <v>0.15</v>
      </c>
      <c r="L303" s="7">
        <v>71400</v>
      </c>
      <c r="M303" s="7">
        <f>CleanSalesTable[[#This Row],[Sales Amount]]-CleanSalesTable[[#This Row],[Unit Price]]</f>
        <v>50400</v>
      </c>
      <c r="N303" t="s">
        <v>38</v>
      </c>
      <c r="O303" t="s">
        <v>32</v>
      </c>
      <c r="P303" t="str">
        <f t="shared" si="12"/>
        <v>Medium</v>
      </c>
      <c r="Q303" t="str">
        <f t="shared" si="13"/>
        <v>Profit</v>
      </c>
      <c r="R303" s="9" t="str">
        <f t="shared" si="14"/>
        <v>Dec</v>
      </c>
    </row>
    <row r="304" spans="1:18" x14ac:dyDescent="0.25">
      <c r="A304" s="5" t="s">
        <v>385</v>
      </c>
      <c r="B304" s="16">
        <v>45746</v>
      </c>
      <c r="C304" t="s">
        <v>46</v>
      </c>
      <c r="D304" t="s">
        <v>62</v>
      </c>
      <c r="E304" t="s">
        <v>28</v>
      </c>
      <c r="F304" t="s">
        <v>29</v>
      </c>
      <c r="G304" t="s">
        <v>77</v>
      </c>
      <c r="H304" t="s">
        <v>111</v>
      </c>
      <c r="I304" s="17">
        <v>2</v>
      </c>
      <c r="J304" s="7">
        <v>29000</v>
      </c>
      <c r="K304" s="8">
        <v>0.15</v>
      </c>
      <c r="L304" s="7">
        <v>49300</v>
      </c>
      <c r="M304" s="7">
        <f>CleanSalesTable[[#This Row],[Sales Amount]]-CleanSalesTable[[#This Row],[Unit Price]]</f>
        <v>20300</v>
      </c>
      <c r="N304" t="s">
        <v>58</v>
      </c>
      <c r="O304" t="s">
        <v>97</v>
      </c>
      <c r="P304" t="str">
        <f t="shared" si="12"/>
        <v>Medium</v>
      </c>
      <c r="Q304" t="str">
        <f t="shared" si="13"/>
        <v>Profit</v>
      </c>
      <c r="R304" s="9" t="str">
        <f t="shared" si="14"/>
        <v>Mar</v>
      </c>
    </row>
    <row r="305" spans="1:18" x14ac:dyDescent="0.25">
      <c r="A305" s="5" t="s">
        <v>386</v>
      </c>
      <c r="B305" s="16">
        <v>45824</v>
      </c>
      <c r="C305" t="s">
        <v>46</v>
      </c>
      <c r="D305" t="s">
        <v>89</v>
      </c>
      <c r="E305" t="s">
        <v>87</v>
      </c>
      <c r="F305" t="s">
        <v>20</v>
      </c>
      <c r="G305" t="s">
        <v>48</v>
      </c>
      <c r="H305" t="s">
        <v>90</v>
      </c>
      <c r="I305" s="17">
        <v>4</v>
      </c>
      <c r="J305" s="7">
        <v>14500</v>
      </c>
      <c r="K305" s="8">
        <v>0.1</v>
      </c>
      <c r="L305" s="7">
        <v>52200</v>
      </c>
      <c r="M305" s="7">
        <f>CleanSalesTable[[#This Row],[Sales Amount]]-CleanSalesTable[[#This Row],[Unit Price]]</f>
        <v>37700</v>
      </c>
      <c r="N305" t="s">
        <v>50</v>
      </c>
      <c r="O305" t="s">
        <v>59</v>
      </c>
      <c r="P305" t="str">
        <f t="shared" si="12"/>
        <v>Medium</v>
      </c>
      <c r="Q305" t="str">
        <f t="shared" si="13"/>
        <v>Profit</v>
      </c>
      <c r="R305" s="9" t="str">
        <f t="shared" si="14"/>
        <v>Jun</v>
      </c>
    </row>
    <row r="306" spans="1:18" x14ac:dyDescent="0.25">
      <c r="A306" s="5" t="s">
        <v>387</v>
      </c>
      <c r="B306" s="16">
        <v>45680</v>
      </c>
      <c r="C306" t="s">
        <v>17</v>
      </c>
      <c r="D306" t="s">
        <v>102</v>
      </c>
      <c r="E306" t="s">
        <v>36</v>
      </c>
      <c r="F306" t="s">
        <v>29</v>
      </c>
      <c r="G306" t="s">
        <v>30</v>
      </c>
      <c r="H306" t="s">
        <v>31</v>
      </c>
      <c r="I306" s="17">
        <v>1</v>
      </c>
      <c r="J306" s="7">
        <v>3200</v>
      </c>
      <c r="K306" s="8">
        <v>0</v>
      </c>
      <c r="L306" s="7">
        <v>3200</v>
      </c>
      <c r="M306" s="7">
        <f>CleanSalesTable[[#This Row],[Sales Amount]]-CleanSalesTable[[#This Row],[Unit Price]]</f>
        <v>0</v>
      </c>
      <c r="N306" t="s">
        <v>38</v>
      </c>
      <c r="O306" t="s">
        <v>51</v>
      </c>
      <c r="P306" t="str">
        <f t="shared" si="12"/>
        <v>Low</v>
      </c>
      <c r="Q306" t="str">
        <f t="shared" si="13"/>
        <v>Loss</v>
      </c>
      <c r="R306" s="9" t="str">
        <f t="shared" si="14"/>
        <v>Jan</v>
      </c>
    </row>
    <row r="307" spans="1:18" x14ac:dyDescent="0.25">
      <c r="A307" s="5" t="s">
        <v>388</v>
      </c>
      <c r="B307" s="16">
        <v>45738</v>
      </c>
      <c r="C307" t="s">
        <v>94</v>
      </c>
      <c r="D307" t="s">
        <v>86</v>
      </c>
      <c r="E307" t="s">
        <v>87</v>
      </c>
      <c r="F307" t="s">
        <v>20</v>
      </c>
      <c r="G307" t="s">
        <v>30</v>
      </c>
      <c r="H307" t="s">
        <v>57</v>
      </c>
      <c r="I307" s="17">
        <v>1</v>
      </c>
      <c r="J307" s="7">
        <v>4500</v>
      </c>
      <c r="K307" s="8">
        <v>0.1</v>
      </c>
      <c r="L307" s="7">
        <v>4050</v>
      </c>
      <c r="M307" s="7">
        <f>CleanSalesTable[[#This Row],[Sales Amount]]-CleanSalesTable[[#This Row],[Unit Price]]</f>
        <v>-450</v>
      </c>
      <c r="N307" t="s">
        <v>50</v>
      </c>
      <c r="O307" t="s">
        <v>59</v>
      </c>
      <c r="P307" t="str">
        <f t="shared" si="12"/>
        <v>Low</v>
      </c>
      <c r="Q307" t="str">
        <f t="shared" si="13"/>
        <v>Loss</v>
      </c>
      <c r="R307" s="9" t="str">
        <f t="shared" si="14"/>
        <v>Mar</v>
      </c>
    </row>
    <row r="308" spans="1:18" x14ac:dyDescent="0.25">
      <c r="A308" s="5" t="s">
        <v>389</v>
      </c>
      <c r="B308" s="16">
        <v>45892</v>
      </c>
      <c r="C308" t="s">
        <v>26</v>
      </c>
      <c r="D308" t="s">
        <v>35</v>
      </c>
      <c r="E308" t="s">
        <v>36</v>
      </c>
      <c r="F308" t="s">
        <v>29</v>
      </c>
      <c r="G308" t="s">
        <v>77</v>
      </c>
      <c r="H308" t="s">
        <v>111</v>
      </c>
      <c r="I308" s="17">
        <v>3</v>
      </c>
      <c r="J308" s="7">
        <v>29000</v>
      </c>
      <c r="K308" s="8">
        <v>0</v>
      </c>
      <c r="L308" s="7">
        <v>87000</v>
      </c>
      <c r="M308" s="7">
        <f>CleanSalesTable[[#This Row],[Sales Amount]]-CleanSalesTable[[#This Row],[Unit Price]]</f>
        <v>58000</v>
      </c>
      <c r="N308" t="s">
        <v>38</v>
      </c>
      <c r="O308" t="s">
        <v>79</v>
      </c>
      <c r="P308" t="str">
        <f t="shared" si="12"/>
        <v>Medium</v>
      </c>
      <c r="Q308" t="str">
        <f t="shared" si="13"/>
        <v>Profit</v>
      </c>
      <c r="R308" s="9" t="str">
        <f t="shared" si="14"/>
        <v>Aug</v>
      </c>
    </row>
    <row r="309" spans="1:18" x14ac:dyDescent="0.25">
      <c r="A309" s="5" t="s">
        <v>390</v>
      </c>
      <c r="B309" s="16">
        <v>45697</v>
      </c>
      <c r="C309" t="s">
        <v>17</v>
      </c>
      <c r="D309" t="s">
        <v>102</v>
      </c>
      <c r="E309" t="s">
        <v>36</v>
      </c>
      <c r="F309" t="s">
        <v>29</v>
      </c>
      <c r="G309" t="s">
        <v>48</v>
      </c>
      <c r="H309" t="s">
        <v>105</v>
      </c>
      <c r="I309" s="17">
        <v>3</v>
      </c>
      <c r="J309" s="7">
        <v>21000</v>
      </c>
      <c r="K309" s="8">
        <v>0.05</v>
      </c>
      <c r="L309" s="7">
        <v>59850</v>
      </c>
      <c r="M309" s="7">
        <f>CleanSalesTable[[#This Row],[Sales Amount]]-CleanSalesTable[[#This Row],[Unit Price]]</f>
        <v>38850</v>
      </c>
      <c r="N309" t="s">
        <v>73</v>
      </c>
      <c r="O309" t="s">
        <v>97</v>
      </c>
      <c r="P309" t="str">
        <f t="shared" si="12"/>
        <v>Medium</v>
      </c>
      <c r="Q309" t="str">
        <f t="shared" si="13"/>
        <v>Profit</v>
      </c>
      <c r="R309" s="9" t="str">
        <f t="shared" si="14"/>
        <v>Feb</v>
      </c>
    </row>
    <row r="310" spans="1:18" x14ac:dyDescent="0.25">
      <c r="A310" s="5" t="s">
        <v>391</v>
      </c>
      <c r="B310" s="16">
        <v>45673</v>
      </c>
      <c r="C310" t="s">
        <v>26</v>
      </c>
      <c r="D310" t="s">
        <v>104</v>
      </c>
      <c r="E310" t="s">
        <v>19</v>
      </c>
      <c r="F310" t="s">
        <v>20</v>
      </c>
      <c r="G310" t="s">
        <v>21</v>
      </c>
      <c r="H310" t="s">
        <v>44</v>
      </c>
      <c r="I310" s="17">
        <v>4</v>
      </c>
      <c r="J310" s="7">
        <v>1200</v>
      </c>
      <c r="K310" s="8">
        <v>0.1</v>
      </c>
      <c r="L310" s="7">
        <v>4320</v>
      </c>
      <c r="M310" s="7">
        <f>CleanSalesTable[[#This Row],[Sales Amount]]-CleanSalesTable[[#This Row],[Unit Price]]</f>
        <v>3120</v>
      </c>
      <c r="N310" t="s">
        <v>58</v>
      </c>
      <c r="O310" t="s">
        <v>32</v>
      </c>
      <c r="P310" t="str">
        <f t="shared" si="12"/>
        <v>Low</v>
      </c>
      <c r="Q310" t="str">
        <f t="shared" si="13"/>
        <v>Profit</v>
      </c>
      <c r="R310" s="9" t="str">
        <f t="shared" si="14"/>
        <v>Jan</v>
      </c>
    </row>
    <row r="311" spans="1:18" x14ac:dyDescent="0.25">
      <c r="A311" s="5" t="s">
        <v>392</v>
      </c>
      <c r="B311" s="16">
        <v>45669</v>
      </c>
      <c r="C311" t="s">
        <v>53</v>
      </c>
      <c r="D311" t="s">
        <v>41</v>
      </c>
      <c r="E311" t="s">
        <v>42</v>
      </c>
      <c r="F311" t="s">
        <v>43</v>
      </c>
      <c r="G311" t="s">
        <v>77</v>
      </c>
      <c r="H311" t="s">
        <v>99</v>
      </c>
      <c r="I311" s="17">
        <v>1</v>
      </c>
      <c r="J311" s="7">
        <v>24000</v>
      </c>
      <c r="K311" s="8">
        <v>0.15</v>
      </c>
      <c r="L311" s="7">
        <v>20400</v>
      </c>
      <c r="M311" s="7">
        <f>CleanSalesTable[[#This Row],[Sales Amount]]-CleanSalesTable[[#This Row],[Unit Price]]</f>
        <v>-3600</v>
      </c>
      <c r="N311" t="s">
        <v>73</v>
      </c>
      <c r="O311" t="s">
        <v>59</v>
      </c>
      <c r="P311" t="str">
        <f t="shared" si="12"/>
        <v>Low</v>
      </c>
      <c r="Q311" t="str">
        <f t="shared" si="13"/>
        <v>Loss</v>
      </c>
      <c r="R311" s="9" t="str">
        <f t="shared" si="14"/>
        <v>Jan</v>
      </c>
    </row>
    <row r="312" spans="1:18" x14ac:dyDescent="0.25">
      <c r="A312" s="5" t="s">
        <v>393</v>
      </c>
      <c r="B312" s="16">
        <v>45854</v>
      </c>
      <c r="C312" t="s">
        <v>61</v>
      </c>
      <c r="D312" t="s">
        <v>95</v>
      </c>
      <c r="E312" t="s">
        <v>87</v>
      </c>
      <c r="F312" t="s">
        <v>20</v>
      </c>
      <c r="G312" t="s">
        <v>77</v>
      </c>
      <c r="H312" t="s">
        <v>111</v>
      </c>
      <c r="I312" s="17">
        <v>4</v>
      </c>
      <c r="J312" s="7">
        <v>29000</v>
      </c>
      <c r="K312" s="8">
        <v>0.15</v>
      </c>
      <c r="L312" s="7">
        <v>98600</v>
      </c>
      <c r="M312" s="7">
        <f>CleanSalesTable[[#This Row],[Sales Amount]]-CleanSalesTable[[#This Row],[Unit Price]]</f>
        <v>69600</v>
      </c>
      <c r="N312" t="s">
        <v>73</v>
      </c>
      <c r="O312" t="s">
        <v>59</v>
      </c>
      <c r="P312" t="str">
        <f t="shared" si="12"/>
        <v>Medium</v>
      </c>
      <c r="Q312" t="str">
        <f t="shared" si="13"/>
        <v>Profit</v>
      </c>
      <c r="R312" s="9" t="str">
        <f t="shared" si="14"/>
        <v>Jul</v>
      </c>
    </row>
    <row r="313" spans="1:18" x14ac:dyDescent="0.25">
      <c r="A313" s="5" t="s">
        <v>394</v>
      </c>
      <c r="B313" s="16">
        <v>45918</v>
      </c>
      <c r="C313" t="s">
        <v>34</v>
      </c>
      <c r="D313" t="s">
        <v>92</v>
      </c>
      <c r="E313" t="s">
        <v>42</v>
      </c>
      <c r="F313" t="s">
        <v>43</v>
      </c>
      <c r="G313" t="s">
        <v>30</v>
      </c>
      <c r="H313" t="s">
        <v>37</v>
      </c>
      <c r="I313" s="17">
        <v>2</v>
      </c>
      <c r="J313" s="7">
        <v>2800</v>
      </c>
      <c r="K313" s="8">
        <v>0.15</v>
      </c>
      <c r="L313" s="7">
        <v>4760</v>
      </c>
      <c r="M313" s="7">
        <f>CleanSalesTable[[#This Row],[Sales Amount]]-CleanSalesTable[[#This Row],[Unit Price]]</f>
        <v>1960</v>
      </c>
      <c r="N313" t="s">
        <v>50</v>
      </c>
      <c r="O313" t="s">
        <v>24</v>
      </c>
      <c r="P313" t="str">
        <f t="shared" si="12"/>
        <v>Low</v>
      </c>
      <c r="Q313" t="str">
        <f t="shared" si="13"/>
        <v>Profit</v>
      </c>
      <c r="R313" s="9" t="str">
        <f t="shared" si="14"/>
        <v>Sep</v>
      </c>
    </row>
    <row r="314" spans="1:18" x14ac:dyDescent="0.25">
      <c r="A314" s="5" t="s">
        <v>395</v>
      </c>
      <c r="B314" s="16">
        <v>45792</v>
      </c>
      <c r="C314" t="s">
        <v>94</v>
      </c>
      <c r="D314" t="s">
        <v>67</v>
      </c>
      <c r="E314" t="s">
        <v>36</v>
      </c>
      <c r="F314" t="s">
        <v>29</v>
      </c>
      <c r="G314" t="s">
        <v>54</v>
      </c>
      <c r="H314" t="s">
        <v>68</v>
      </c>
      <c r="I314" s="17">
        <v>4</v>
      </c>
      <c r="J314" s="7">
        <v>52000</v>
      </c>
      <c r="K314" s="8">
        <v>0</v>
      </c>
      <c r="L314" s="7">
        <v>208000</v>
      </c>
      <c r="M314" s="7">
        <f>CleanSalesTable[[#This Row],[Sales Amount]]-CleanSalesTable[[#This Row],[Unit Price]]</f>
        <v>156000</v>
      </c>
      <c r="N314" t="s">
        <v>58</v>
      </c>
      <c r="O314" t="s">
        <v>51</v>
      </c>
      <c r="P314" t="str">
        <f t="shared" si="12"/>
        <v>High</v>
      </c>
      <c r="Q314" t="str">
        <f t="shared" si="13"/>
        <v>Profit</v>
      </c>
      <c r="R314" s="9" t="str">
        <f t="shared" si="14"/>
        <v>May</v>
      </c>
    </row>
    <row r="315" spans="1:18" x14ac:dyDescent="0.25">
      <c r="A315" s="5" t="s">
        <v>396</v>
      </c>
      <c r="B315" s="16">
        <v>45840</v>
      </c>
      <c r="C315" t="s">
        <v>94</v>
      </c>
      <c r="D315" t="s">
        <v>27</v>
      </c>
      <c r="E315" t="s">
        <v>28</v>
      </c>
      <c r="F315" t="s">
        <v>29</v>
      </c>
      <c r="G315" t="s">
        <v>48</v>
      </c>
      <c r="H315" t="s">
        <v>90</v>
      </c>
      <c r="I315" s="17">
        <v>1</v>
      </c>
      <c r="J315" s="7">
        <v>14500</v>
      </c>
      <c r="K315" s="8">
        <v>0</v>
      </c>
      <c r="L315" s="7">
        <v>14500</v>
      </c>
      <c r="M315" s="7">
        <f>CleanSalesTable[[#This Row],[Sales Amount]]-CleanSalesTable[[#This Row],[Unit Price]]</f>
        <v>0</v>
      </c>
      <c r="N315" t="s">
        <v>38</v>
      </c>
      <c r="O315" t="s">
        <v>79</v>
      </c>
      <c r="P315" t="str">
        <f t="shared" si="12"/>
        <v>Low</v>
      </c>
      <c r="Q315" t="str">
        <f t="shared" si="13"/>
        <v>Loss</v>
      </c>
      <c r="R315" s="9" t="str">
        <f t="shared" si="14"/>
        <v>Jul</v>
      </c>
    </row>
    <row r="316" spans="1:18" x14ac:dyDescent="0.25">
      <c r="A316" s="5" t="s">
        <v>397</v>
      </c>
      <c r="B316" s="16">
        <v>45687</v>
      </c>
      <c r="C316" t="s">
        <v>61</v>
      </c>
      <c r="D316" t="s">
        <v>102</v>
      </c>
      <c r="E316" t="s">
        <v>36</v>
      </c>
      <c r="F316" t="s">
        <v>29</v>
      </c>
      <c r="G316" t="s">
        <v>30</v>
      </c>
      <c r="H316" t="s">
        <v>37</v>
      </c>
      <c r="I316" s="17">
        <v>4</v>
      </c>
      <c r="J316" s="7">
        <v>2800</v>
      </c>
      <c r="K316" s="8">
        <v>0.05</v>
      </c>
      <c r="L316" s="7">
        <v>10640</v>
      </c>
      <c r="M316" s="7">
        <f>CleanSalesTable[[#This Row],[Sales Amount]]-CleanSalesTable[[#This Row],[Unit Price]]</f>
        <v>7840</v>
      </c>
      <c r="N316" t="s">
        <v>38</v>
      </c>
      <c r="O316" t="s">
        <v>32</v>
      </c>
      <c r="P316" t="str">
        <f t="shared" si="12"/>
        <v>Low</v>
      </c>
      <c r="Q316" t="str">
        <f t="shared" si="13"/>
        <v>Profit</v>
      </c>
      <c r="R316" s="9" t="str">
        <f t="shared" si="14"/>
        <v>Jan</v>
      </c>
    </row>
    <row r="317" spans="1:18" x14ac:dyDescent="0.25">
      <c r="A317" s="5" t="s">
        <v>398</v>
      </c>
      <c r="B317" s="16">
        <v>45745</v>
      </c>
      <c r="C317" t="s">
        <v>94</v>
      </c>
      <c r="D317" t="s">
        <v>67</v>
      </c>
      <c r="E317" t="s">
        <v>36</v>
      </c>
      <c r="F317" t="s">
        <v>29</v>
      </c>
      <c r="G317" t="s">
        <v>30</v>
      </c>
      <c r="H317" t="s">
        <v>57</v>
      </c>
      <c r="I317" s="17">
        <v>1</v>
      </c>
      <c r="J317" s="7">
        <v>4500</v>
      </c>
      <c r="K317" s="8">
        <v>0.15</v>
      </c>
      <c r="L317" s="7">
        <v>3825</v>
      </c>
      <c r="M317" s="7">
        <f>CleanSalesTable[[#This Row],[Sales Amount]]-CleanSalesTable[[#This Row],[Unit Price]]</f>
        <v>-675</v>
      </c>
      <c r="N317" t="s">
        <v>50</v>
      </c>
      <c r="O317" t="s">
        <v>59</v>
      </c>
      <c r="P317" t="str">
        <f t="shared" si="12"/>
        <v>Low</v>
      </c>
      <c r="Q317" t="str">
        <f t="shared" si="13"/>
        <v>Loss</v>
      </c>
      <c r="R317" s="9" t="str">
        <f t="shared" si="14"/>
        <v>Mar</v>
      </c>
    </row>
    <row r="318" spans="1:18" x14ac:dyDescent="0.25">
      <c r="A318" s="5" t="s">
        <v>399</v>
      </c>
      <c r="B318" s="16">
        <v>45892</v>
      </c>
      <c r="C318" t="s">
        <v>118</v>
      </c>
      <c r="D318" t="s">
        <v>47</v>
      </c>
      <c r="E318" t="s">
        <v>19</v>
      </c>
      <c r="F318" t="s">
        <v>20</v>
      </c>
      <c r="G318" t="s">
        <v>77</v>
      </c>
      <c r="H318" t="s">
        <v>99</v>
      </c>
      <c r="I318" s="17">
        <v>1</v>
      </c>
      <c r="J318" s="7">
        <v>24000</v>
      </c>
      <c r="K318" s="8">
        <v>0</v>
      </c>
      <c r="L318" s="7">
        <v>24000</v>
      </c>
      <c r="M318" s="7">
        <f>CleanSalesTable[[#This Row],[Sales Amount]]-CleanSalesTable[[#This Row],[Unit Price]]</f>
        <v>0</v>
      </c>
      <c r="N318" t="s">
        <v>58</v>
      </c>
      <c r="O318" t="s">
        <v>74</v>
      </c>
      <c r="P318" t="str">
        <f t="shared" si="12"/>
        <v>Low</v>
      </c>
      <c r="Q318" t="str">
        <f t="shared" si="13"/>
        <v>Loss</v>
      </c>
      <c r="R318" s="9" t="str">
        <f t="shared" si="14"/>
        <v>Aug</v>
      </c>
    </row>
    <row r="319" spans="1:18" x14ac:dyDescent="0.25">
      <c r="A319" s="5" t="s">
        <v>400</v>
      </c>
      <c r="B319" s="16">
        <v>45761</v>
      </c>
      <c r="C319" t="s">
        <v>61</v>
      </c>
      <c r="D319" t="s">
        <v>95</v>
      </c>
      <c r="E319" t="s">
        <v>87</v>
      </c>
      <c r="F319" t="s">
        <v>20</v>
      </c>
      <c r="G319" t="s">
        <v>30</v>
      </c>
      <c r="H319" t="s">
        <v>57</v>
      </c>
      <c r="I319" s="17">
        <v>1</v>
      </c>
      <c r="J319" s="7">
        <v>4500</v>
      </c>
      <c r="K319" s="8">
        <v>0.15</v>
      </c>
      <c r="L319" s="7">
        <v>3825</v>
      </c>
      <c r="M319" s="7">
        <f>CleanSalesTable[[#This Row],[Sales Amount]]-CleanSalesTable[[#This Row],[Unit Price]]</f>
        <v>-675</v>
      </c>
      <c r="N319" t="s">
        <v>23</v>
      </c>
      <c r="O319" t="s">
        <v>97</v>
      </c>
      <c r="P319" t="str">
        <f t="shared" si="12"/>
        <v>Low</v>
      </c>
      <c r="Q319" t="str">
        <f t="shared" si="13"/>
        <v>Loss</v>
      </c>
      <c r="R319" s="9" t="str">
        <f t="shared" si="14"/>
        <v>Apr</v>
      </c>
    </row>
    <row r="320" spans="1:18" x14ac:dyDescent="0.25">
      <c r="A320" s="5" t="s">
        <v>401</v>
      </c>
      <c r="B320" s="16">
        <v>45801</v>
      </c>
      <c r="C320" t="s">
        <v>84</v>
      </c>
      <c r="D320" t="s">
        <v>92</v>
      </c>
      <c r="E320" t="s">
        <v>42</v>
      </c>
      <c r="F320" t="s">
        <v>43</v>
      </c>
      <c r="G320" t="s">
        <v>77</v>
      </c>
      <c r="H320" t="s">
        <v>99</v>
      </c>
      <c r="I320" s="17">
        <v>2</v>
      </c>
      <c r="J320" s="7">
        <v>24000</v>
      </c>
      <c r="K320" s="8">
        <v>0.05</v>
      </c>
      <c r="L320" s="7">
        <v>45600</v>
      </c>
      <c r="M320" s="7">
        <f>CleanSalesTable[[#This Row],[Sales Amount]]-CleanSalesTable[[#This Row],[Unit Price]]</f>
        <v>21600</v>
      </c>
      <c r="N320" t="s">
        <v>58</v>
      </c>
      <c r="O320" t="s">
        <v>39</v>
      </c>
      <c r="P320" t="str">
        <f t="shared" si="12"/>
        <v>Medium</v>
      </c>
      <c r="Q320" t="str">
        <f t="shared" si="13"/>
        <v>Profit</v>
      </c>
      <c r="R320" s="9" t="str">
        <f t="shared" si="14"/>
        <v>May</v>
      </c>
    </row>
    <row r="321" spans="1:18" x14ac:dyDescent="0.25">
      <c r="A321" s="5" t="s">
        <v>402</v>
      </c>
      <c r="B321" s="16">
        <v>45836</v>
      </c>
      <c r="C321" t="s">
        <v>94</v>
      </c>
      <c r="D321" t="s">
        <v>89</v>
      </c>
      <c r="E321" t="s">
        <v>87</v>
      </c>
      <c r="F321" t="s">
        <v>20</v>
      </c>
      <c r="G321" t="s">
        <v>77</v>
      </c>
      <c r="H321" t="s">
        <v>111</v>
      </c>
      <c r="I321" s="17">
        <v>2</v>
      </c>
      <c r="J321" s="7">
        <v>29000</v>
      </c>
      <c r="K321" s="8">
        <v>0.1</v>
      </c>
      <c r="L321" s="7">
        <v>52200</v>
      </c>
      <c r="M321" s="7">
        <f>CleanSalesTable[[#This Row],[Sales Amount]]-CleanSalesTable[[#This Row],[Unit Price]]</f>
        <v>23200</v>
      </c>
      <c r="N321" t="s">
        <v>23</v>
      </c>
      <c r="O321" t="s">
        <v>97</v>
      </c>
      <c r="P321" t="str">
        <f t="shared" si="12"/>
        <v>Medium</v>
      </c>
      <c r="Q321" t="str">
        <f t="shared" si="13"/>
        <v>Profit</v>
      </c>
      <c r="R321" s="9" t="str">
        <f t="shared" si="14"/>
        <v>Jun</v>
      </c>
    </row>
    <row r="322" spans="1:18" x14ac:dyDescent="0.25">
      <c r="A322" s="5" t="s">
        <v>403</v>
      </c>
      <c r="B322" s="16">
        <v>45968</v>
      </c>
      <c r="C322" t="s">
        <v>94</v>
      </c>
      <c r="D322" t="s">
        <v>95</v>
      </c>
      <c r="E322" t="s">
        <v>87</v>
      </c>
      <c r="F322" t="s">
        <v>20</v>
      </c>
      <c r="G322" t="s">
        <v>54</v>
      </c>
      <c r="H322" t="s">
        <v>55</v>
      </c>
      <c r="I322" s="17">
        <v>3</v>
      </c>
      <c r="J322" s="7">
        <v>58000</v>
      </c>
      <c r="K322" s="8">
        <v>0.1</v>
      </c>
      <c r="L322" s="7">
        <v>156600</v>
      </c>
      <c r="M322" s="7">
        <f>CleanSalesTable[[#This Row],[Sales Amount]]-CleanSalesTable[[#This Row],[Unit Price]]</f>
        <v>98600</v>
      </c>
      <c r="N322" t="s">
        <v>73</v>
      </c>
      <c r="O322" t="s">
        <v>51</v>
      </c>
      <c r="P322" t="str">
        <f t="shared" si="12"/>
        <v>High</v>
      </c>
      <c r="Q322" t="str">
        <f t="shared" si="13"/>
        <v>Profit</v>
      </c>
      <c r="R322" s="9" t="str">
        <f t="shared" si="14"/>
        <v>Nov</v>
      </c>
    </row>
    <row r="323" spans="1:18" x14ac:dyDescent="0.25">
      <c r="A323" s="5" t="s">
        <v>404</v>
      </c>
      <c r="B323" s="16">
        <v>45807</v>
      </c>
      <c r="C323" t="s">
        <v>94</v>
      </c>
      <c r="D323" t="s">
        <v>47</v>
      </c>
      <c r="E323" t="s">
        <v>19</v>
      </c>
      <c r="F323" t="s">
        <v>20</v>
      </c>
      <c r="G323" t="s">
        <v>48</v>
      </c>
      <c r="H323" t="s">
        <v>90</v>
      </c>
      <c r="I323" s="17">
        <v>2</v>
      </c>
      <c r="J323" s="7">
        <v>14500</v>
      </c>
      <c r="K323" s="8">
        <v>0.05</v>
      </c>
      <c r="L323" s="7">
        <v>27550</v>
      </c>
      <c r="M323" s="7">
        <f>CleanSalesTable[[#This Row],[Sales Amount]]-CleanSalesTable[[#This Row],[Unit Price]]</f>
        <v>13050</v>
      </c>
      <c r="N323" t="s">
        <v>58</v>
      </c>
      <c r="O323" t="s">
        <v>74</v>
      </c>
      <c r="P323" t="str">
        <f t="shared" si="12"/>
        <v>Low</v>
      </c>
      <c r="Q323" t="str">
        <f t="shared" si="13"/>
        <v>Profit</v>
      </c>
      <c r="R323" s="9" t="str">
        <f t="shared" si="14"/>
        <v>May</v>
      </c>
    </row>
    <row r="324" spans="1:18" x14ac:dyDescent="0.25">
      <c r="A324" s="10" t="s">
        <v>405</v>
      </c>
      <c r="B324" s="18">
        <v>45805</v>
      </c>
      <c r="C324" s="12" t="s">
        <v>26</v>
      </c>
      <c r="D324" s="12" t="s">
        <v>62</v>
      </c>
      <c r="E324" s="12" t="s">
        <v>28</v>
      </c>
      <c r="F324" s="12" t="s">
        <v>29</v>
      </c>
      <c r="G324" s="12" t="s">
        <v>21</v>
      </c>
      <c r="H324" s="12" t="s">
        <v>22</v>
      </c>
      <c r="I324" s="19">
        <v>2</v>
      </c>
      <c r="J324" s="13">
        <v>1500</v>
      </c>
      <c r="K324" s="14">
        <v>0.05</v>
      </c>
      <c r="L324" s="13">
        <v>2850</v>
      </c>
      <c r="M324" s="7">
        <f>CleanSalesTable[[#This Row],[Sales Amount]]-CleanSalesTable[[#This Row],[Unit Price]]</f>
        <v>1350</v>
      </c>
      <c r="N324" s="12" t="s">
        <v>23</v>
      </c>
      <c r="O324" s="12" t="s">
        <v>97</v>
      </c>
      <c r="P324" s="12" t="str">
        <f t="shared" si="12"/>
        <v>Low</v>
      </c>
      <c r="Q324" s="12" t="str">
        <f t="shared" si="13"/>
        <v>Profit</v>
      </c>
      <c r="R324" s="15" t="str">
        <f t="shared" si="14"/>
        <v>May</v>
      </c>
    </row>
  </sheetData>
  <mergeCells count="1">
    <mergeCell ref="A1:R2"/>
  </mergeCells>
  <conditionalFormatting sqref="Q5:Q324">
    <cfRule type="expression" dxfId="1" priority="2">
      <formula>Q5="Loss"</formula>
    </cfRule>
    <cfRule type="expression" dxfId="0" priority="3">
      <formula>Q5="Profit"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A261"/>
  </sheetPr>
  <dimension ref="A1:H18"/>
  <sheetViews>
    <sheetView zoomScaleNormal="100" workbookViewId="0">
      <selection activeCell="E28" sqref="E28"/>
    </sheetView>
  </sheetViews>
  <sheetFormatPr defaultColWidth="8.7109375" defaultRowHeight="15" x14ac:dyDescent="0.25"/>
  <cols>
    <col min="1" max="1" width="26" customWidth="1"/>
    <col min="2" max="2" width="20" customWidth="1"/>
    <col min="4" max="4" width="18" customWidth="1"/>
    <col min="5" max="7" width="22" customWidth="1"/>
    <col min="8" max="8" width="22.42578125" customWidth="1"/>
  </cols>
  <sheetData>
    <row r="1" spans="1:8" x14ac:dyDescent="0.25">
      <c r="A1" s="68" t="s">
        <v>410</v>
      </c>
      <c r="B1" s="68"/>
      <c r="C1" s="68"/>
      <c r="D1" s="68"/>
      <c r="E1" s="68"/>
      <c r="F1" s="68"/>
      <c r="G1" s="68"/>
      <c r="H1" s="68"/>
    </row>
    <row r="2" spans="1:8" x14ac:dyDescent="0.25">
      <c r="A2" s="68"/>
      <c r="B2" s="68"/>
      <c r="C2" s="68"/>
      <c r="D2" s="68"/>
      <c r="E2" s="68"/>
      <c r="F2" s="68"/>
      <c r="G2" s="68"/>
      <c r="H2" s="68"/>
    </row>
    <row r="4" spans="1:8" ht="15" customHeight="1" x14ac:dyDescent="0.25">
      <c r="A4" s="2" t="s">
        <v>411</v>
      </c>
      <c r="B4" s="4" t="s">
        <v>412</v>
      </c>
      <c r="D4" s="2" t="s">
        <v>413</v>
      </c>
      <c r="E4" s="3" t="s">
        <v>414</v>
      </c>
      <c r="F4" s="3" t="s">
        <v>415</v>
      </c>
      <c r="G4" s="3" t="s">
        <v>416</v>
      </c>
      <c r="H4" s="4" t="s">
        <v>417</v>
      </c>
    </row>
    <row r="5" spans="1:8" x14ac:dyDescent="0.25">
      <c r="A5" s="5" t="s">
        <v>418</v>
      </c>
      <c r="B5" s="20">
        <f>SUM(Clean_Data!L5:L324)</f>
        <v>13739070</v>
      </c>
      <c r="D5" s="10" t="s">
        <v>16</v>
      </c>
      <c r="E5" s="13">
        <f>_xlfn.SINGLE(_xlfn.XLOOKUP(D5,Clean_Data!A5:A324,Clean_Data!L5:L324,"Not Found"))</f>
        <v>3000</v>
      </c>
      <c r="F5" s="12" t="str">
        <f>INDEX(Clean_Data!H5:H324,MATCH(D5,Clean_Data!A5:A324,0))</f>
        <v>Keyboard</v>
      </c>
      <c r="G5" s="12" t="str">
        <f>IF(E5&gt;=100000,"High",IF(E5&gt;=30000,"Medium","Low"))</f>
        <v>Low</v>
      </c>
      <c r="H5" s="15" t="str">
        <f>_xlfn.XLOOKUP(D5,Clean_Data!A5:A324,Clean_Data!C5:C324,"Not Found")</f>
        <v>Karan Joshi</v>
      </c>
    </row>
    <row r="6" spans="1:8" x14ac:dyDescent="0.25">
      <c r="A6" s="5" t="s">
        <v>419</v>
      </c>
      <c r="B6" s="20">
        <f>SUM(Clean_Data!M5:M324)</f>
        <v>7749870</v>
      </c>
    </row>
    <row r="7" spans="1:8" x14ac:dyDescent="0.25">
      <c r="A7" s="5" t="s">
        <v>420</v>
      </c>
      <c r="B7" s="20">
        <f>AVERAGE(Clean_Data!L5:L324)</f>
        <v>42934.59375</v>
      </c>
    </row>
    <row r="8" spans="1:8" x14ac:dyDescent="0.25">
      <c r="A8" s="5" t="s">
        <v>421</v>
      </c>
      <c r="B8" s="20">
        <f>MAX(Clean_Data!L5:L324)</f>
        <v>244000</v>
      </c>
    </row>
    <row r="9" spans="1:8" x14ac:dyDescent="0.25">
      <c r="A9" s="5" t="s">
        <v>422</v>
      </c>
      <c r="B9" s="20">
        <f>MIN(Clean_Data!L5:L324)</f>
        <v>765</v>
      </c>
    </row>
    <row r="10" spans="1:8" x14ac:dyDescent="0.25">
      <c r="A10" s="5" t="s">
        <v>423</v>
      </c>
      <c r="B10" s="9">
        <f>COUNTA(Clean_Data!A5:A324)</f>
        <v>320</v>
      </c>
    </row>
    <row r="11" spans="1:8" x14ac:dyDescent="0.25">
      <c r="A11" s="5" t="s">
        <v>424</v>
      </c>
      <c r="B11" s="9">
        <f>COUNTIF(Clean_Data!P5:P324,"High")</f>
        <v>42</v>
      </c>
    </row>
    <row r="12" spans="1:8" x14ac:dyDescent="0.25">
      <c r="A12" s="10" t="s">
        <v>425</v>
      </c>
      <c r="B12" s="21">
        <f>SUMIF(Clean_Data!F5:F324,"West",Clean_Data!L5:L324)</f>
        <v>4616720</v>
      </c>
    </row>
    <row r="15" spans="1:8" ht="15" customHeight="1" x14ac:dyDescent="0.25">
      <c r="A15" s="22" t="s">
        <v>426</v>
      </c>
      <c r="B15" s="23" t="s">
        <v>427</v>
      </c>
      <c r="C15" t="s">
        <v>428</v>
      </c>
    </row>
    <row r="16" spans="1:8" x14ac:dyDescent="0.25">
      <c r="A16" s="5" t="s">
        <v>429</v>
      </c>
      <c r="B16" s="9" t="s">
        <v>430</v>
      </c>
    </row>
    <row r="17" spans="1:2" x14ac:dyDescent="0.25">
      <c r="A17" s="5" t="s">
        <v>431</v>
      </c>
      <c r="B17" s="9" t="s">
        <v>432</v>
      </c>
    </row>
    <row r="18" spans="1:2" x14ac:dyDescent="0.25">
      <c r="A18" s="10" t="s">
        <v>433</v>
      </c>
      <c r="B18" s="15" t="s">
        <v>434</v>
      </c>
    </row>
  </sheetData>
  <mergeCells count="1">
    <mergeCell ref="A1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A261"/>
  </sheetPr>
  <dimension ref="A1:I343"/>
  <sheetViews>
    <sheetView showGridLines="0" zoomScaleNormal="100" workbookViewId="0">
      <selection activeCell="K22" sqref="K22"/>
    </sheetView>
  </sheetViews>
  <sheetFormatPr defaultColWidth="8.7109375" defaultRowHeight="15" x14ac:dyDescent="0.25"/>
  <cols>
    <col min="1" max="1" width="22.42578125" customWidth="1"/>
    <col min="2" max="2" width="16.5703125" customWidth="1"/>
    <col min="3" max="3" width="14.5703125" customWidth="1"/>
    <col min="4" max="4" width="19.7109375" customWidth="1"/>
  </cols>
  <sheetData>
    <row r="1" spans="1:9" x14ac:dyDescent="0.25">
      <c r="A1" t="s">
        <v>435</v>
      </c>
    </row>
    <row r="2" spans="1:9" ht="15" customHeight="1" x14ac:dyDescent="0.25"/>
    <row r="3" spans="1:9" x14ac:dyDescent="0.25">
      <c r="A3" s="71" t="s">
        <v>436</v>
      </c>
      <c r="B3" s="71"/>
    </row>
    <row r="4" spans="1:9" x14ac:dyDescent="0.25">
      <c r="A4" t="s">
        <v>437</v>
      </c>
      <c r="B4">
        <v>0.33577571986601501</v>
      </c>
    </row>
    <row r="5" spans="1:9" x14ac:dyDescent="0.25">
      <c r="A5" t="s">
        <v>438</v>
      </c>
      <c r="B5">
        <v>0.112745334051541</v>
      </c>
    </row>
    <row r="6" spans="1:9" x14ac:dyDescent="0.25">
      <c r="A6" t="s">
        <v>439</v>
      </c>
      <c r="B6">
        <v>0.10994642343340701</v>
      </c>
    </row>
    <row r="7" spans="1:9" x14ac:dyDescent="0.25">
      <c r="A7" t="s">
        <v>440</v>
      </c>
      <c r="B7">
        <v>1.04301126885714</v>
      </c>
    </row>
    <row r="8" spans="1:9" ht="15" customHeight="1" x14ac:dyDescent="0.25">
      <c r="A8" s="24" t="s">
        <v>441</v>
      </c>
      <c r="B8" s="24">
        <v>319</v>
      </c>
    </row>
    <row r="10" spans="1:9" ht="15" customHeight="1" x14ac:dyDescent="0.25">
      <c r="A10" t="s">
        <v>442</v>
      </c>
    </row>
    <row r="11" spans="1:9" x14ac:dyDescent="0.25">
      <c r="A11" s="1"/>
      <c r="B11" s="1" t="s">
        <v>443</v>
      </c>
      <c r="C11" s="1" t="s">
        <v>444</v>
      </c>
      <c r="D11" s="1" t="s">
        <v>445</v>
      </c>
      <c r="E11" s="1" t="s">
        <v>446</v>
      </c>
      <c r="F11" s="1" t="s">
        <v>447</v>
      </c>
    </row>
    <row r="12" spans="1:9" x14ac:dyDescent="0.25">
      <c r="A12" t="s">
        <v>448</v>
      </c>
      <c r="B12">
        <v>1</v>
      </c>
      <c r="C12">
        <v>43.8215312801957</v>
      </c>
      <c r="D12">
        <v>43.8215312801957</v>
      </c>
      <c r="E12">
        <v>40.281862993791897</v>
      </c>
      <c r="F12">
        <v>7.5953436297001199E-10</v>
      </c>
    </row>
    <row r="13" spans="1:9" x14ac:dyDescent="0.25">
      <c r="A13" t="s">
        <v>449</v>
      </c>
      <c r="B13">
        <v>317</v>
      </c>
      <c r="C13">
        <v>344.855584707265</v>
      </c>
      <c r="D13">
        <v>1.08787250696298</v>
      </c>
    </row>
    <row r="14" spans="1:9" ht="15" customHeight="1" x14ac:dyDescent="0.25">
      <c r="A14" s="24" t="s">
        <v>450</v>
      </c>
      <c r="B14" s="24">
        <v>318</v>
      </c>
      <c r="C14" s="24">
        <v>388.67711598746098</v>
      </c>
      <c r="D14" s="24"/>
      <c r="E14" s="24"/>
      <c r="F14" s="24"/>
    </row>
    <row r="15" spans="1:9" ht="15" customHeight="1" x14ac:dyDescent="0.25"/>
    <row r="16" spans="1:9" x14ac:dyDescent="0.25">
      <c r="A16" s="1"/>
      <c r="B16" s="1" t="s">
        <v>451</v>
      </c>
      <c r="C16" s="1" t="s">
        <v>440</v>
      </c>
      <c r="D16" s="1" t="s">
        <v>452</v>
      </c>
      <c r="E16" s="1" t="s">
        <v>453</v>
      </c>
      <c r="F16" s="1" t="s">
        <v>454</v>
      </c>
      <c r="G16" s="1" t="s">
        <v>455</v>
      </c>
      <c r="H16" s="1" t="s">
        <v>456</v>
      </c>
      <c r="I16" s="1" t="s">
        <v>457</v>
      </c>
    </row>
    <row r="17" spans="1:9" x14ac:dyDescent="0.25">
      <c r="A17" t="s">
        <v>458</v>
      </c>
      <c r="B17">
        <v>2.1348002757259001</v>
      </c>
      <c r="C17">
        <v>7.5849439275569502E-2</v>
      </c>
      <c r="D17">
        <v>28.145234771874001</v>
      </c>
      <c r="E17">
        <v>3.2380672080489398E-88</v>
      </c>
      <c r="F17">
        <v>1.9855683502761801</v>
      </c>
      <c r="G17">
        <v>2.28403220117562</v>
      </c>
      <c r="H17">
        <v>1.9855683502761801</v>
      </c>
      <c r="I17">
        <v>2.28403220117562</v>
      </c>
    </row>
    <row r="18" spans="1:9" ht="15" customHeight="1" x14ac:dyDescent="0.25">
      <c r="A18" s="24">
        <v>3000</v>
      </c>
      <c r="B18" s="24">
        <v>7.13440686043663E-6</v>
      </c>
      <c r="C18" s="24">
        <v>1.1240952136718101E-6</v>
      </c>
      <c r="D18" s="24">
        <v>6.34679942914478</v>
      </c>
      <c r="E18" s="24">
        <v>7.5953436296983198E-10</v>
      </c>
      <c r="F18" s="24">
        <v>4.9227768902321297E-6</v>
      </c>
      <c r="G18" s="24">
        <v>9.3460368306411302E-6</v>
      </c>
      <c r="H18" s="24">
        <v>4.9227768902321297E-6</v>
      </c>
      <c r="I18" s="24">
        <v>9.3460368306411302E-6</v>
      </c>
    </row>
    <row r="22" spans="1:9" x14ac:dyDescent="0.25">
      <c r="A22" t="s">
        <v>459</v>
      </c>
      <c r="F22" t="s">
        <v>460</v>
      </c>
    </row>
    <row r="23" spans="1:9" ht="15" customHeight="1" x14ac:dyDescent="0.25"/>
    <row r="24" spans="1:9" x14ac:dyDescent="0.25">
      <c r="A24" s="1" t="s">
        <v>461</v>
      </c>
      <c r="B24" s="1" t="s">
        <v>462</v>
      </c>
      <c r="C24" s="1" t="s">
        <v>463</v>
      </c>
      <c r="D24" s="1" t="s">
        <v>464</v>
      </c>
      <c r="F24" s="1" t="s">
        <v>465</v>
      </c>
      <c r="G24" s="1">
        <v>2</v>
      </c>
    </row>
    <row r="25" spans="1:9" x14ac:dyDescent="0.25">
      <c r="A25">
        <v>1</v>
      </c>
      <c r="B25">
        <v>2.6227937049797698</v>
      </c>
      <c r="C25">
        <v>-0.62279370497976605</v>
      </c>
      <c r="D25">
        <v>-0.59805226901791497</v>
      </c>
      <c r="F25">
        <v>0.156739811912226</v>
      </c>
      <c r="G25">
        <v>1</v>
      </c>
    </row>
    <row r="26" spans="1:9" x14ac:dyDescent="0.25">
      <c r="A26">
        <v>2</v>
      </c>
      <c r="B26">
        <v>2.1527789810142002</v>
      </c>
      <c r="C26">
        <v>-1.1527789810142</v>
      </c>
      <c r="D26">
        <v>-1.10698306639773</v>
      </c>
      <c r="F26">
        <v>0.47021943573667702</v>
      </c>
      <c r="G26">
        <v>1</v>
      </c>
    </row>
    <row r="27" spans="1:9" x14ac:dyDescent="0.25">
      <c r="A27">
        <v>3</v>
      </c>
      <c r="B27">
        <v>2.1493544657211898</v>
      </c>
      <c r="C27">
        <v>-0.14935446572119099</v>
      </c>
      <c r="D27">
        <v>-0.14342113030095399</v>
      </c>
      <c r="F27">
        <v>0.78369905956112895</v>
      </c>
      <c r="G27">
        <v>1</v>
      </c>
    </row>
    <row r="28" spans="1:9" x14ac:dyDescent="0.25">
      <c r="A28">
        <v>4</v>
      </c>
      <c r="B28">
        <v>2.3081663624345099</v>
      </c>
      <c r="C28">
        <v>-0.30816636243451101</v>
      </c>
      <c r="D28">
        <v>-0.29592398063006098</v>
      </c>
      <c r="F28">
        <v>1.0971786833855799</v>
      </c>
      <c r="G28">
        <v>1</v>
      </c>
    </row>
    <row r="29" spans="1:9" x14ac:dyDescent="0.25">
      <c r="A29">
        <v>5</v>
      </c>
      <c r="B29">
        <v>2.92101191174602</v>
      </c>
      <c r="C29">
        <v>-0.92101191174601704</v>
      </c>
      <c r="D29">
        <v>-0.88442329973474698</v>
      </c>
      <c r="F29">
        <v>1.41065830721003</v>
      </c>
      <c r="G29">
        <v>1</v>
      </c>
    </row>
    <row r="30" spans="1:9" x14ac:dyDescent="0.25">
      <c r="A30">
        <v>6</v>
      </c>
      <c r="B30">
        <v>2.1652998650542701</v>
      </c>
      <c r="C30">
        <v>-1.1652998650542701</v>
      </c>
      <c r="D30">
        <v>-1.1190065390988799</v>
      </c>
      <c r="F30">
        <v>1.72413793103448</v>
      </c>
      <c r="G30">
        <v>1</v>
      </c>
    </row>
    <row r="31" spans="1:9" x14ac:dyDescent="0.25">
      <c r="A31">
        <v>7</v>
      </c>
      <c r="B31">
        <v>3.0051979126991699</v>
      </c>
      <c r="C31">
        <v>-1.0051979126991699</v>
      </c>
      <c r="D31">
        <v>-0.96526488256868603</v>
      </c>
      <c r="F31">
        <v>2.0376175548589299</v>
      </c>
      <c r="G31">
        <v>1</v>
      </c>
    </row>
    <row r="32" spans="1:9" x14ac:dyDescent="0.25">
      <c r="A32">
        <v>8</v>
      </c>
      <c r="B32">
        <v>3.3761870694418699</v>
      </c>
      <c r="C32">
        <v>-0.37618706944187402</v>
      </c>
      <c r="D32">
        <v>-0.361242460635054</v>
      </c>
      <c r="F32">
        <v>2.3510971786833901</v>
      </c>
      <c r="G32">
        <v>1</v>
      </c>
    </row>
    <row r="33" spans="1:7" x14ac:dyDescent="0.25">
      <c r="A33">
        <v>9</v>
      </c>
      <c r="B33">
        <v>2.1620893819670699</v>
      </c>
      <c r="C33">
        <v>-1.1620893819670699</v>
      </c>
      <c r="D33">
        <v>-1.1159235973806301</v>
      </c>
      <c r="F33">
        <v>2.66457680250784</v>
      </c>
      <c r="G33">
        <v>1</v>
      </c>
    </row>
    <row r="34" spans="1:7" x14ac:dyDescent="0.25">
      <c r="A34">
        <v>10</v>
      </c>
      <c r="B34">
        <v>2.48723997463147</v>
      </c>
      <c r="C34">
        <v>-1.48723997463147</v>
      </c>
      <c r="D34">
        <v>-1.42815708362273</v>
      </c>
      <c r="F34">
        <v>2.97805642633229</v>
      </c>
      <c r="G34">
        <v>1</v>
      </c>
    </row>
    <row r="35" spans="1:7" x14ac:dyDescent="0.25">
      <c r="A35">
        <v>11</v>
      </c>
      <c r="B35">
        <v>2.2632195992137598</v>
      </c>
      <c r="C35">
        <v>1.73678040078624</v>
      </c>
      <c r="D35">
        <v>1.6677841332866401</v>
      </c>
      <c r="F35">
        <v>3.2915360501567399</v>
      </c>
      <c r="G35">
        <v>1</v>
      </c>
    </row>
    <row r="36" spans="1:7" x14ac:dyDescent="0.25">
      <c r="A36">
        <v>12</v>
      </c>
      <c r="B36">
        <v>2.55358995843353</v>
      </c>
      <c r="C36">
        <v>0.44641004156647002</v>
      </c>
      <c r="D36">
        <v>0.42867571739486798</v>
      </c>
      <c r="F36">
        <v>3.6050156739811898</v>
      </c>
      <c r="G36">
        <v>1</v>
      </c>
    </row>
    <row r="37" spans="1:7" x14ac:dyDescent="0.25">
      <c r="A37">
        <v>13</v>
      </c>
      <c r="B37">
        <v>2.14635801483981</v>
      </c>
      <c r="C37">
        <v>-0.14635801483980801</v>
      </c>
      <c r="D37">
        <v>-0.14054371803059301</v>
      </c>
      <c r="F37">
        <v>3.9184952978056402</v>
      </c>
      <c r="G37">
        <v>1</v>
      </c>
    </row>
    <row r="38" spans="1:7" x14ac:dyDescent="0.25">
      <c r="A38">
        <v>14</v>
      </c>
      <c r="B38">
        <v>2.16048414042347</v>
      </c>
      <c r="C38">
        <v>1.83951585957653</v>
      </c>
      <c r="D38">
        <v>1.76643826827043</v>
      </c>
      <c r="F38">
        <v>4.2319749216300897</v>
      </c>
      <c r="G38">
        <v>1</v>
      </c>
    </row>
    <row r="39" spans="1:7" x14ac:dyDescent="0.25">
      <c r="A39">
        <v>15</v>
      </c>
      <c r="B39">
        <v>2.41946310945732</v>
      </c>
      <c r="C39">
        <v>-0.41946310945732201</v>
      </c>
      <c r="D39">
        <v>-0.40279929352916599</v>
      </c>
      <c r="F39">
        <v>4.5454545454545503</v>
      </c>
      <c r="G39">
        <v>1</v>
      </c>
    </row>
    <row r="40" spans="1:7" x14ac:dyDescent="0.25">
      <c r="A40">
        <v>16</v>
      </c>
      <c r="B40">
        <v>2.2382491752022302</v>
      </c>
      <c r="C40">
        <v>-1.23824917520223</v>
      </c>
      <c r="D40">
        <v>-1.1890578259189599</v>
      </c>
      <c r="F40">
        <v>4.8589341692790002</v>
      </c>
      <c r="G40">
        <v>1</v>
      </c>
    </row>
    <row r="41" spans="1:7" x14ac:dyDescent="0.25">
      <c r="A41">
        <v>17</v>
      </c>
      <c r="B41">
        <v>2.2032905815860899</v>
      </c>
      <c r="C41">
        <v>0.79670941841390797</v>
      </c>
      <c r="D41">
        <v>0.76505891376320401</v>
      </c>
      <c r="F41">
        <v>5.1724137931034502</v>
      </c>
      <c r="G41">
        <v>1</v>
      </c>
    </row>
    <row r="42" spans="1:7" x14ac:dyDescent="0.25">
      <c r="A42">
        <v>18</v>
      </c>
      <c r="B42">
        <v>2.4865265339454301</v>
      </c>
      <c r="C42">
        <v>1.5134734660545699</v>
      </c>
      <c r="D42">
        <v>1.45334840932882</v>
      </c>
      <c r="F42">
        <v>5.4858934169279001</v>
      </c>
      <c r="G42">
        <v>1</v>
      </c>
    </row>
    <row r="43" spans="1:7" x14ac:dyDescent="0.25">
      <c r="A43">
        <v>19</v>
      </c>
      <c r="B43">
        <v>2.5279060937359601</v>
      </c>
      <c r="C43">
        <v>1.4720939062640399</v>
      </c>
      <c r="D43">
        <v>1.41361271607146</v>
      </c>
      <c r="F43">
        <v>5.7993730407523501</v>
      </c>
      <c r="G43">
        <v>1</v>
      </c>
    </row>
    <row r="44" spans="1:7" x14ac:dyDescent="0.25">
      <c r="A44">
        <v>20</v>
      </c>
      <c r="B44">
        <v>2.6484775696773402</v>
      </c>
      <c r="C44">
        <v>0.35152243032266201</v>
      </c>
      <c r="D44">
        <v>0.33755766216678501</v>
      </c>
      <c r="F44">
        <v>6.1128526645768</v>
      </c>
      <c r="G44">
        <v>1</v>
      </c>
    </row>
    <row r="45" spans="1:7" x14ac:dyDescent="0.25">
      <c r="A45">
        <v>21</v>
      </c>
      <c r="B45">
        <v>2.4501410589571999</v>
      </c>
      <c r="C45">
        <v>-1.4501410589571999</v>
      </c>
      <c r="D45">
        <v>-1.39253197932303</v>
      </c>
      <c r="F45">
        <v>6.4263322884012499</v>
      </c>
      <c r="G45">
        <v>1</v>
      </c>
    </row>
    <row r="46" spans="1:7" x14ac:dyDescent="0.25">
      <c r="A46">
        <v>22</v>
      </c>
      <c r="B46">
        <v>2.1781774694373599</v>
      </c>
      <c r="C46">
        <v>-0.17817746943735599</v>
      </c>
      <c r="D46">
        <v>-0.17109909594918399</v>
      </c>
      <c r="F46">
        <v>6.7398119122257096</v>
      </c>
      <c r="G46">
        <v>1</v>
      </c>
    </row>
    <row r="47" spans="1:7" x14ac:dyDescent="0.25">
      <c r="A47">
        <v>23</v>
      </c>
      <c r="B47">
        <v>2.5168477631022799</v>
      </c>
      <c r="C47">
        <v>0.48315223689771802</v>
      </c>
      <c r="D47">
        <v>0.46395827261476502</v>
      </c>
      <c r="F47">
        <v>7.0532915360501596</v>
      </c>
      <c r="G47">
        <v>1</v>
      </c>
    </row>
    <row r="48" spans="1:7" x14ac:dyDescent="0.25">
      <c r="A48">
        <v>24</v>
      </c>
      <c r="B48">
        <v>2.1529930132200099</v>
      </c>
      <c r="C48">
        <v>-0.15299301322001399</v>
      </c>
      <c r="D48">
        <v>-0.146915130914963</v>
      </c>
      <c r="F48">
        <v>7.3667711598746104</v>
      </c>
      <c r="G48">
        <v>1</v>
      </c>
    </row>
    <row r="49" spans="1:7" x14ac:dyDescent="0.25">
      <c r="A49">
        <v>25</v>
      </c>
      <c r="B49">
        <v>2.1531000293229199</v>
      </c>
      <c r="C49">
        <v>0.84689997067708001</v>
      </c>
      <c r="D49">
        <v>0.81325556929174303</v>
      </c>
      <c r="F49">
        <v>7.6802507836990603</v>
      </c>
      <c r="G49">
        <v>1</v>
      </c>
    </row>
    <row r="50" spans="1:7" x14ac:dyDescent="0.25">
      <c r="A50">
        <v>26</v>
      </c>
      <c r="B50">
        <v>2.1476422080746902</v>
      </c>
      <c r="C50">
        <v>-0.147642208074687</v>
      </c>
      <c r="D50">
        <v>-0.14177689471789101</v>
      </c>
      <c r="F50">
        <v>7.9937304075235103</v>
      </c>
      <c r="G50">
        <v>1</v>
      </c>
    </row>
    <row r="51" spans="1:7" x14ac:dyDescent="0.25">
      <c r="A51">
        <v>27</v>
      </c>
      <c r="B51">
        <v>2.3416980746785598</v>
      </c>
      <c r="C51">
        <v>-1.3416980746785601</v>
      </c>
      <c r="D51">
        <v>-1.2883970590623599</v>
      </c>
      <c r="F51">
        <v>8.3072100313479602</v>
      </c>
      <c r="G51">
        <v>1</v>
      </c>
    </row>
    <row r="52" spans="1:7" x14ac:dyDescent="0.25">
      <c r="A52">
        <v>28</v>
      </c>
      <c r="B52">
        <v>2.14336156395842</v>
      </c>
      <c r="C52">
        <v>-1.14336156395842</v>
      </c>
      <c r="D52">
        <v>-1.09793977069088</v>
      </c>
      <c r="F52">
        <v>8.6206896551724199</v>
      </c>
      <c r="G52">
        <v>1</v>
      </c>
    </row>
    <row r="53" spans="1:7" x14ac:dyDescent="0.25">
      <c r="A53">
        <v>29</v>
      </c>
      <c r="B53">
        <v>2.4344453638642398</v>
      </c>
      <c r="C53">
        <v>-0.43444536386423899</v>
      </c>
      <c r="D53">
        <v>-0.417186354880969</v>
      </c>
      <c r="F53">
        <v>8.9341692789968707</v>
      </c>
      <c r="G53">
        <v>1</v>
      </c>
    </row>
    <row r="54" spans="1:7" x14ac:dyDescent="0.25">
      <c r="A54">
        <v>30</v>
      </c>
      <c r="B54">
        <v>2.4865265339454301</v>
      </c>
      <c r="C54">
        <v>-1.4865265339454301</v>
      </c>
      <c r="D54">
        <v>-1.4274719854631199</v>
      </c>
      <c r="F54">
        <v>9.2476489028213198</v>
      </c>
      <c r="G54">
        <v>1</v>
      </c>
    </row>
    <row r="55" spans="1:7" x14ac:dyDescent="0.25">
      <c r="A55">
        <v>31</v>
      </c>
      <c r="B55">
        <v>2.3274292609576901</v>
      </c>
      <c r="C55">
        <v>-0.32742926095768998</v>
      </c>
      <c r="D55">
        <v>-0.31442163093952202</v>
      </c>
      <c r="F55">
        <v>9.5611285266457706</v>
      </c>
      <c r="G55">
        <v>1</v>
      </c>
    </row>
    <row r="56" spans="1:7" x14ac:dyDescent="0.25">
      <c r="A56">
        <v>32</v>
      </c>
      <c r="B56">
        <v>2.52005824618948</v>
      </c>
      <c r="C56">
        <v>1.47994175381052</v>
      </c>
      <c r="D56">
        <v>1.42114879582717</v>
      </c>
      <c r="F56">
        <v>9.8746081504702197</v>
      </c>
      <c r="G56">
        <v>1</v>
      </c>
    </row>
    <row r="57" spans="1:7" x14ac:dyDescent="0.25">
      <c r="A57">
        <v>33</v>
      </c>
      <c r="B57">
        <v>2.56179452632303</v>
      </c>
      <c r="C57">
        <v>0.43820547367696699</v>
      </c>
      <c r="D57">
        <v>0.42079708855935699</v>
      </c>
      <c r="F57">
        <v>10.188087774294701</v>
      </c>
      <c r="G57">
        <v>1</v>
      </c>
    </row>
    <row r="58" spans="1:7" x14ac:dyDescent="0.25">
      <c r="A58">
        <v>34</v>
      </c>
      <c r="B58">
        <v>3.6244644281850702</v>
      </c>
      <c r="C58">
        <v>0.37553557181493202</v>
      </c>
      <c r="D58">
        <v>0.36061684475143602</v>
      </c>
      <c r="F58">
        <v>10.5015673981191</v>
      </c>
      <c r="G58">
        <v>1</v>
      </c>
    </row>
    <row r="59" spans="1:7" x14ac:dyDescent="0.25">
      <c r="A59">
        <v>35</v>
      </c>
      <c r="B59">
        <v>2.3060260403763801</v>
      </c>
      <c r="C59">
        <v>-1.3060260403763799</v>
      </c>
      <c r="D59">
        <v>-1.25414215108188</v>
      </c>
      <c r="F59">
        <v>10.815047021943601</v>
      </c>
      <c r="G59">
        <v>1</v>
      </c>
    </row>
    <row r="60" spans="1:7" x14ac:dyDescent="0.25">
      <c r="A60">
        <v>36</v>
      </c>
      <c r="B60">
        <v>2.5279060937359601</v>
      </c>
      <c r="C60">
        <v>1.4720939062640399</v>
      </c>
      <c r="D60">
        <v>1.41361271607146</v>
      </c>
      <c r="F60">
        <v>11.128526645768</v>
      </c>
      <c r="G60">
        <v>1</v>
      </c>
    </row>
    <row r="61" spans="1:7" x14ac:dyDescent="0.25">
      <c r="A61">
        <v>37</v>
      </c>
      <c r="B61">
        <v>2.2261206835394902</v>
      </c>
      <c r="C61">
        <v>1.77387931646051</v>
      </c>
      <c r="D61">
        <v>1.7034092375863401</v>
      </c>
      <c r="F61">
        <v>11.4420062695925</v>
      </c>
      <c r="G61">
        <v>1</v>
      </c>
    </row>
    <row r="62" spans="1:7" x14ac:dyDescent="0.25">
      <c r="A62">
        <v>38</v>
      </c>
      <c r="B62">
        <v>2.96239147153655</v>
      </c>
      <c r="C62">
        <v>1.03760852846345</v>
      </c>
      <c r="D62">
        <v>0.99638793686918803</v>
      </c>
      <c r="F62">
        <v>11.7554858934169</v>
      </c>
      <c r="G62">
        <v>1</v>
      </c>
    </row>
    <row r="63" spans="1:7" x14ac:dyDescent="0.25">
      <c r="A63">
        <v>39</v>
      </c>
      <c r="B63">
        <v>2.2027198290372598</v>
      </c>
      <c r="C63">
        <v>1.79728017096274</v>
      </c>
      <c r="D63">
        <v>1.72588045722154</v>
      </c>
      <c r="F63">
        <v>12.0689655172414</v>
      </c>
      <c r="G63">
        <v>1</v>
      </c>
    </row>
    <row r="64" spans="1:7" x14ac:dyDescent="0.25">
      <c r="A64">
        <v>40</v>
      </c>
      <c r="B64">
        <v>2.16048414042347</v>
      </c>
      <c r="C64">
        <v>1.83951585957653</v>
      </c>
      <c r="D64">
        <v>1.76643826827043</v>
      </c>
      <c r="F64">
        <v>12.3824451410658</v>
      </c>
      <c r="G64">
        <v>1</v>
      </c>
    </row>
    <row r="65" spans="1:7" x14ac:dyDescent="0.25">
      <c r="A65">
        <v>41</v>
      </c>
      <c r="B65">
        <v>2.2621494381846898</v>
      </c>
      <c r="C65">
        <v>-1.2621494381846901</v>
      </c>
      <c r="D65">
        <v>-1.2120086142658899</v>
      </c>
      <c r="F65">
        <v>12.6959247648903</v>
      </c>
      <c r="G65">
        <v>1</v>
      </c>
    </row>
    <row r="66" spans="1:7" x14ac:dyDescent="0.25">
      <c r="A66">
        <v>42</v>
      </c>
      <c r="B66">
        <v>2.1553473674839601</v>
      </c>
      <c r="C66">
        <v>-1.1553473674839601</v>
      </c>
      <c r="D66">
        <v>-1.1094494197723199</v>
      </c>
      <c r="F66">
        <v>13.0094043887147</v>
      </c>
      <c r="G66">
        <v>1</v>
      </c>
    </row>
    <row r="67" spans="1:7" x14ac:dyDescent="0.25">
      <c r="A67">
        <v>43</v>
      </c>
      <c r="B67">
        <v>2.17589445924202</v>
      </c>
      <c r="C67">
        <v>-0.17589445924201599</v>
      </c>
      <c r="D67">
        <v>-0.168906781838433</v>
      </c>
      <c r="F67">
        <v>13.3228840125392</v>
      </c>
      <c r="G67">
        <v>1</v>
      </c>
    </row>
    <row r="68" spans="1:7" x14ac:dyDescent="0.25">
      <c r="A68">
        <v>44</v>
      </c>
      <c r="B68">
        <v>2.21698864275813</v>
      </c>
      <c r="C68">
        <v>1.78301135724187</v>
      </c>
      <c r="D68">
        <v>1.7121784940293501</v>
      </c>
      <c r="F68">
        <v>13.636363636363599</v>
      </c>
      <c r="G68">
        <v>1</v>
      </c>
    </row>
    <row r="69" spans="1:7" x14ac:dyDescent="0.25">
      <c r="A69">
        <v>45</v>
      </c>
      <c r="B69">
        <v>2.3416980746785598</v>
      </c>
      <c r="C69">
        <v>-0.341698074678563</v>
      </c>
      <c r="D69">
        <v>-0.32812359413171499</v>
      </c>
      <c r="F69">
        <v>13.9498432601881</v>
      </c>
      <c r="G69">
        <v>1</v>
      </c>
    </row>
    <row r="70" spans="1:7" x14ac:dyDescent="0.25">
      <c r="A70">
        <v>46</v>
      </c>
      <c r="B70">
        <v>2.7340904520025799</v>
      </c>
      <c r="C70">
        <v>1.2659095479974201</v>
      </c>
      <c r="D70">
        <v>1.2156193479442801</v>
      </c>
      <c r="F70">
        <v>14.263322884012499</v>
      </c>
      <c r="G70">
        <v>1</v>
      </c>
    </row>
    <row r="71" spans="1:7" x14ac:dyDescent="0.25">
      <c r="A71">
        <v>47</v>
      </c>
      <c r="B71">
        <v>2.17760671688852</v>
      </c>
      <c r="C71">
        <v>1.82239328311148</v>
      </c>
      <c r="D71">
        <v>1.7499959124397999</v>
      </c>
      <c r="F71">
        <v>14.576802507837</v>
      </c>
      <c r="G71">
        <v>1</v>
      </c>
    </row>
    <row r="72" spans="1:7" x14ac:dyDescent="0.25">
      <c r="A72">
        <v>48</v>
      </c>
      <c r="B72">
        <v>2.5279060937359601</v>
      </c>
      <c r="C72">
        <v>-1.5279060937359601</v>
      </c>
      <c r="D72">
        <v>-1.46720767872048</v>
      </c>
      <c r="F72">
        <v>14.890282131661399</v>
      </c>
      <c r="G72">
        <v>1</v>
      </c>
    </row>
    <row r="73" spans="1:7" x14ac:dyDescent="0.25">
      <c r="A73">
        <v>49</v>
      </c>
      <c r="B73">
        <v>2.6741614343749101</v>
      </c>
      <c r="C73">
        <v>1.3258385656250899</v>
      </c>
      <c r="D73">
        <v>1.2731675933514901</v>
      </c>
      <c r="F73">
        <v>15.2037617554859</v>
      </c>
      <c r="G73">
        <v>1</v>
      </c>
    </row>
    <row r="74" spans="1:7" x14ac:dyDescent="0.25">
      <c r="A74">
        <v>50</v>
      </c>
      <c r="B74">
        <v>2.3210082947833</v>
      </c>
      <c r="C74">
        <v>-1.3210082947833</v>
      </c>
      <c r="D74">
        <v>-1.26852921243368</v>
      </c>
      <c r="F74">
        <v>15.5172413793104</v>
      </c>
      <c r="G74">
        <v>1</v>
      </c>
    </row>
    <row r="75" spans="1:7" x14ac:dyDescent="0.25">
      <c r="A75">
        <v>51</v>
      </c>
      <c r="B75">
        <v>3.2445572628668198</v>
      </c>
      <c r="C75">
        <v>-0.244557262866818</v>
      </c>
      <c r="D75">
        <v>-0.23484185018707401</v>
      </c>
      <c r="F75">
        <v>15.8307210031348</v>
      </c>
      <c r="G75">
        <v>1</v>
      </c>
    </row>
    <row r="76" spans="1:7" x14ac:dyDescent="0.25">
      <c r="A76">
        <v>52</v>
      </c>
      <c r="B76">
        <v>2.15377779797466</v>
      </c>
      <c r="C76">
        <v>-1.15377779797466</v>
      </c>
      <c r="D76">
        <v>-1.1079422038211799</v>
      </c>
      <c r="F76">
        <v>16.1442006269593</v>
      </c>
      <c r="G76">
        <v>1</v>
      </c>
    </row>
    <row r="77" spans="1:7" x14ac:dyDescent="0.25">
      <c r="A77">
        <v>53</v>
      </c>
      <c r="B77">
        <v>2.48723997463147</v>
      </c>
      <c r="C77">
        <v>-1.48723997463147</v>
      </c>
      <c r="D77">
        <v>-1.42815708362273</v>
      </c>
      <c r="F77">
        <v>16.457680250783699</v>
      </c>
      <c r="G77">
        <v>1</v>
      </c>
    </row>
    <row r="78" spans="1:7" x14ac:dyDescent="0.25">
      <c r="A78">
        <v>54</v>
      </c>
      <c r="B78">
        <v>2.1669051065978699</v>
      </c>
      <c r="C78">
        <v>-1.1669051065978699</v>
      </c>
      <c r="D78">
        <v>-1.1205480099580001</v>
      </c>
      <c r="F78">
        <v>16.771159874608198</v>
      </c>
      <c r="G78">
        <v>1</v>
      </c>
    </row>
    <row r="79" spans="1:7" x14ac:dyDescent="0.25">
      <c r="A79">
        <v>55</v>
      </c>
      <c r="B79">
        <v>2.15178016405374</v>
      </c>
      <c r="C79">
        <v>-1.15178016405374</v>
      </c>
      <c r="D79">
        <v>-1.1060239289742699</v>
      </c>
      <c r="F79">
        <v>17.084639498432601</v>
      </c>
      <c r="G79">
        <v>1</v>
      </c>
    </row>
    <row r="80" spans="1:7" x14ac:dyDescent="0.25">
      <c r="A80">
        <v>56</v>
      </c>
      <c r="B80">
        <v>2.1519228521909501</v>
      </c>
      <c r="C80">
        <v>-0.151922852190948</v>
      </c>
      <c r="D80">
        <v>-0.14588748367554899</v>
      </c>
      <c r="F80">
        <v>17.3981191222571</v>
      </c>
      <c r="G80">
        <v>1</v>
      </c>
    </row>
    <row r="81" spans="1:7" x14ac:dyDescent="0.25">
      <c r="A81">
        <v>57</v>
      </c>
      <c r="B81">
        <v>2.14057914528285</v>
      </c>
      <c r="C81">
        <v>-1.14057914528285</v>
      </c>
      <c r="D81">
        <v>-1.0952678878683999</v>
      </c>
      <c r="F81">
        <v>17.711598746081499</v>
      </c>
      <c r="G81">
        <v>1</v>
      </c>
    </row>
    <row r="82" spans="1:7" x14ac:dyDescent="0.25">
      <c r="A82">
        <v>58</v>
      </c>
      <c r="B82">
        <v>2.3416980746785598</v>
      </c>
      <c r="C82">
        <v>-0.341698074678563</v>
      </c>
      <c r="D82">
        <v>-0.32812359413171499</v>
      </c>
      <c r="F82">
        <v>18.025078369906002</v>
      </c>
      <c r="G82">
        <v>1</v>
      </c>
    </row>
    <row r="83" spans="1:7" x14ac:dyDescent="0.25">
      <c r="A83">
        <v>59</v>
      </c>
      <c r="B83">
        <v>2.3416980746785598</v>
      </c>
      <c r="C83">
        <v>-0.341698074678563</v>
      </c>
      <c r="D83">
        <v>-0.32812359413171499</v>
      </c>
      <c r="F83">
        <v>18.338557993730401</v>
      </c>
      <c r="G83">
        <v>1</v>
      </c>
    </row>
    <row r="84" spans="1:7" x14ac:dyDescent="0.25">
      <c r="A84">
        <v>60</v>
      </c>
      <c r="B84">
        <v>2.8767785892113098</v>
      </c>
      <c r="C84">
        <v>-0.87677858921131002</v>
      </c>
      <c r="D84">
        <v>-0.84194721383894899</v>
      </c>
      <c r="F84">
        <v>18.6520376175549</v>
      </c>
      <c r="G84">
        <v>1</v>
      </c>
    </row>
    <row r="85" spans="1:7" x14ac:dyDescent="0.25">
      <c r="A85">
        <v>61</v>
      </c>
      <c r="B85">
        <v>2.2846228197950702</v>
      </c>
      <c r="C85">
        <v>-1.28462281979507</v>
      </c>
      <c r="D85">
        <v>-1.23358920629359</v>
      </c>
      <c r="F85">
        <v>18.965517241379299</v>
      </c>
      <c r="G85">
        <v>1</v>
      </c>
    </row>
    <row r="86" spans="1:7" x14ac:dyDescent="0.25">
      <c r="A86">
        <v>62</v>
      </c>
      <c r="B86">
        <v>3.19211937244261</v>
      </c>
      <c r="C86">
        <v>-0.19211937244260899</v>
      </c>
      <c r="D86">
        <v>-0.184487135455766</v>
      </c>
      <c r="F86">
        <v>19.278996865203801</v>
      </c>
      <c r="G86">
        <v>1</v>
      </c>
    </row>
    <row r="87" spans="1:7" x14ac:dyDescent="0.25">
      <c r="A87">
        <v>63</v>
      </c>
      <c r="B87">
        <v>2.2503776668649702</v>
      </c>
      <c r="C87">
        <v>1.74962233313503</v>
      </c>
      <c r="D87">
        <v>1.68011590015962</v>
      </c>
      <c r="F87">
        <v>19.592476489028201</v>
      </c>
      <c r="G87">
        <v>1</v>
      </c>
    </row>
    <row r="88" spans="1:7" x14ac:dyDescent="0.25">
      <c r="A88">
        <v>64</v>
      </c>
      <c r="B88">
        <v>2.1476422080746902</v>
      </c>
      <c r="C88">
        <v>-0.147642208074687</v>
      </c>
      <c r="D88">
        <v>-0.14177689471789101</v>
      </c>
      <c r="F88">
        <v>19.905956112852699</v>
      </c>
      <c r="G88">
        <v>1</v>
      </c>
    </row>
    <row r="89" spans="1:7" x14ac:dyDescent="0.25">
      <c r="A89">
        <v>65</v>
      </c>
      <c r="B89">
        <v>3.3761870694418699</v>
      </c>
      <c r="C89">
        <v>-0.37618706944187402</v>
      </c>
      <c r="D89">
        <v>-0.361242460635054</v>
      </c>
      <c r="F89">
        <v>20.219435736677099</v>
      </c>
      <c r="G89">
        <v>1</v>
      </c>
    </row>
    <row r="90" spans="1:7" x14ac:dyDescent="0.25">
      <c r="A90">
        <v>66</v>
      </c>
      <c r="B90">
        <v>2.3894986006434902</v>
      </c>
      <c r="C90">
        <v>-0.38949860064348801</v>
      </c>
      <c r="D90">
        <v>-0.37402517082556103</v>
      </c>
      <c r="F90">
        <v>20.532915360501601</v>
      </c>
      <c r="G90">
        <v>1</v>
      </c>
    </row>
    <row r="91" spans="1:7" x14ac:dyDescent="0.25">
      <c r="A91">
        <v>67</v>
      </c>
      <c r="B91">
        <v>2.4344453638642398</v>
      </c>
      <c r="C91">
        <v>-0.43444536386423899</v>
      </c>
      <c r="D91">
        <v>-0.417186354880969</v>
      </c>
      <c r="F91">
        <v>20.846394984326</v>
      </c>
      <c r="G91">
        <v>1</v>
      </c>
    </row>
    <row r="92" spans="1:7" x14ac:dyDescent="0.25">
      <c r="A92">
        <v>68</v>
      </c>
      <c r="B92">
        <v>2.1707576863025002</v>
      </c>
      <c r="C92">
        <v>-0.17075768630250099</v>
      </c>
      <c r="D92">
        <v>-0.163974075089243</v>
      </c>
      <c r="F92">
        <v>21.159874608150499</v>
      </c>
      <c r="G92">
        <v>1</v>
      </c>
    </row>
    <row r="93" spans="1:7" x14ac:dyDescent="0.25">
      <c r="A93">
        <v>69</v>
      </c>
      <c r="B93">
        <v>3.4403967311858001</v>
      </c>
      <c r="C93">
        <v>-0.44039673118580303</v>
      </c>
      <c r="D93">
        <v>-0.42290129499992202</v>
      </c>
      <c r="F93">
        <v>21.473354231974898</v>
      </c>
      <c r="G93">
        <v>1</v>
      </c>
    </row>
    <row r="94" spans="1:7" x14ac:dyDescent="0.25">
      <c r="A94">
        <v>70</v>
      </c>
      <c r="B94">
        <v>2.7244590027409901</v>
      </c>
      <c r="C94">
        <v>0.27554099725901199</v>
      </c>
      <c r="D94">
        <v>0.26459470816835801</v>
      </c>
      <c r="F94">
        <v>21.786833855799401</v>
      </c>
      <c r="G94">
        <v>1</v>
      </c>
    </row>
    <row r="95" spans="1:7" x14ac:dyDescent="0.25">
      <c r="A95">
        <v>71</v>
      </c>
      <c r="B95">
        <v>2.17589445924202</v>
      </c>
      <c r="C95">
        <v>-0.17589445924201599</v>
      </c>
      <c r="D95">
        <v>-0.168906781838433</v>
      </c>
      <c r="F95">
        <v>22.1003134796238</v>
      </c>
      <c r="G95">
        <v>1</v>
      </c>
    </row>
    <row r="96" spans="1:7" x14ac:dyDescent="0.25">
      <c r="A96">
        <v>72</v>
      </c>
      <c r="B96">
        <v>2.2147056325627901</v>
      </c>
      <c r="C96">
        <v>1.7852943674372099</v>
      </c>
      <c r="D96">
        <v>1.7143708081400999</v>
      </c>
      <c r="F96">
        <v>22.413793103448299</v>
      </c>
      <c r="G96">
        <v>1</v>
      </c>
    </row>
    <row r="97" spans="1:7" x14ac:dyDescent="0.25">
      <c r="A97">
        <v>73</v>
      </c>
      <c r="B97">
        <v>2.4865265339454301</v>
      </c>
      <c r="C97">
        <v>-0.486526533945427</v>
      </c>
      <c r="D97">
        <v>-0.46719852053247302</v>
      </c>
      <c r="F97">
        <v>22.727272727272702</v>
      </c>
      <c r="G97">
        <v>1</v>
      </c>
    </row>
    <row r="98" spans="1:7" x14ac:dyDescent="0.25">
      <c r="A98">
        <v>74</v>
      </c>
      <c r="B98">
        <v>2.2846228197950702</v>
      </c>
      <c r="C98">
        <v>-1.28462281979507</v>
      </c>
      <c r="D98">
        <v>-1.23358920629359</v>
      </c>
      <c r="F98">
        <v>23.040752351097201</v>
      </c>
      <c r="G98">
        <v>1</v>
      </c>
    </row>
    <row r="99" spans="1:7" x14ac:dyDescent="0.25">
      <c r="A99">
        <v>75</v>
      </c>
      <c r="B99">
        <v>2.4344453638642398</v>
      </c>
      <c r="C99">
        <v>-0.43444536386423899</v>
      </c>
      <c r="D99">
        <v>-0.417186354880969</v>
      </c>
      <c r="F99">
        <v>23.3542319749216</v>
      </c>
      <c r="G99">
        <v>1</v>
      </c>
    </row>
    <row r="100" spans="1:7" x14ac:dyDescent="0.25">
      <c r="A100">
        <v>76</v>
      </c>
      <c r="B100">
        <v>2.3894986006434902</v>
      </c>
      <c r="C100">
        <v>-0.38949860064348801</v>
      </c>
      <c r="D100">
        <v>-0.37402517082556103</v>
      </c>
      <c r="F100">
        <v>23.667711598746099</v>
      </c>
      <c r="G100">
        <v>1</v>
      </c>
    </row>
    <row r="101" spans="1:7" x14ac:dyDescent="0.25">
      <c r="A101">
        <v>77</v>
      </c>
      <c r="B101">
        <v>2.2771316925916101</v>
      </c>
      <c r="C101">
        <v>-1.2771316925916101</v>
      </c>
      <c r="D101">
        <v>-1.2263956756176899</v>
      </c>
      <c r="F101">
        <v>23.981191222570502</v>
      </c>
      <c r="G101">
        <v>1</v>
      </c>
    </row>
    <row r="102" spans="1:7" x14ac:dyDescent="0.25">
      <c r="A102">
        <v>78</v>
      </c>
      <c r="B102">
        <v>2.3210082947833</v>
      </c>
      <c r="C102">
        <v>-1.3210082947833</v>
      </c>
      <c r="D102">
        <v>-1.26852921243368</v>
      </c>
      <c r="F102">
        <v>24.294670846395</v>
      </c>
      <c r="G102">
        <v>1</v>
      </c>
    </row>
    <row r="103" spans="1:7" x14ac:dyDescent="0.25">
      <c r="A103">
        <v>79</v>
      </c>
      <c r="B103">
        <v>2.5485958736312302</v>
      </c>
      <c r="C103">
        <v>1.45140412636878</v>
      </c>
      <c r="D103">
        <v>1.3937448694427801</v>
      </c>
      <c r="F103">
        <v>24.6081504702194</v>
      </c>
      <c r="G103">
        <v>1</v>
      </c>
    </row>
    <row r="104" spans="1:7" x14ac:dyDescent="0.25">
      <c r="A104">
        <v>80</v>
      </c>
      <c r="B104">
        <v>2.1551333352781499</v>
      </c>
      <c r="C104">
        <v>-0.15513333527814499</v>
      </c>
      <c r="D104">
        <v>-0.14897042539379199</v>
      </c>
      <c r="F104">
        <v>24.921630094043898</v>
      </c>
      <c r="G104">
        <v>2</v>
      </c>
    </row>
    <row r="105" spans="1:7" x14ac:dyDescent="0.25">
      <c r="A105">
        <v>81</v>
      </c>
      <c r="B105">
        <v>2.4141123043119999</v>
      </c>
      <c r="C105">
        <v>0.58588769568800603</v>
      </c>
      <c r="D105">
        <v>0.56261240759855402</v>
      </c>
      <c r="F105">
        <v>25.235109717868301</v>
      </c>
      <c r="G105">
        <v>2</v>
      </c>
    </row>
    <row r="106" spans="1:7" x14ac:dyDescent="0.25">
      <c r="A106">
        <v>82</v>
      </c>
      <c r="B106">
        <v>2.1733260727722601</v>
      </c>
      <c r="C106">
        <v>1.8266739272277399</v>
      </c>
      <c r="D106">
        <v>1.7541065013974599</v>
      </c>
      <c r="F106">
        <v>25.5485893416928</v>
      </c>
      <c r="G106">
        <v>2</v>
      </c>
    </row>
    <row r="107" spans="1:7" x14ac:dyDescent="0.25">
      <c r="A107">
        <v>83</v>
      </c>
      <c r="B107">
        <v>2.6484775696773402</v>
      </c>
      <c r="C107">
        <v>0.35152243032266201</v>
      </c>
      <c r="D107">
        <v>0.33755766216678501</v>
      </c>
      <c r="F107">
        <v>25.862068965517199</v>
      </c>
      <c r="G107">
        <v>2</v>
      </c>
    </row>
    <row r="108" spans="1:7" x14ac:dyDescent="0.25">
      <c r="A108">
        <v>84</v>
      </c>
      <c r="B108">
        <v>2.8025807578627702</v>
      </c>
      <c r="C108">
        <v>-0.80258075786276895</v>
      </c>
      <c r="D108">
        <v>-0.77069700523954598</v>
      </c>
      <c r="F108">
        <v>26.175548589341702</v>
      </c>
      <c r="G108">
        <v>2</v>
      </c>
    </row>
    <row r="109" spans="1:7" x14ac:dyDescent="0.25">
      <c r="A109">
        <v>85</v>
      </c>
      <c r="B109">
        <v>2.87463826715318</v>
      </c>
      <c r="C109">
        <v>-0.87463826715317905</v>
      </c>
      <c r="D109">
        <v>-0.83989191936011998</v>
      </c>
      <c r="F109">
        <v>26.489028213166101</v>
      </c>
      <c r="G109">
        <v>2</v>
      </c>
    </row>
    <row r="110" spans="1:7" x14ac:dyDescent="0.25">
      <c r="A110">
        <v>86</v>
      </c>
      <c r="B110">
        <v>2.4451469741548899</v>
      </c>
      <c r="C110">
        <v>0.55485302584510598</v>
      </c>
      <c r="D110">
        <v>0.53281063765553405</v>
      </c>
      <c r="F110">
        <v>26.8025078369906</v>
      </c>
      <c r="G110">
        <v>2</v>
      </c>
    </row>
    <row r="111" spans="1:7" x14ac:dyDescent="0.25">
      <c r="A111">
        <v>87</v>
      </c>
      <c r="B111">
        <v>3.4403967311858001</v>
      </c>
      <c r="C111">
        <v>-0.44039673118580303</v>
      </c>
      <c r="D111">
        <v>-0.42290129499992202</v>
      </c>
      <c r="F111">
        <v>27.115987460815099</v>
      </c>
      <c r="G111">
        <v>2</v>
      </c>
    </row>
    <row r="112" spans="1:7" x14ac:dyDescent="0.25">
      <c r="A112">
        <v>88</v>
      </c>
      <c r="B112">
        <v>2.8197033343278202</v>
      </c>
      <c r="C112">
        <v>1.1802966656721801</v>
      </c>
      <c r="D112">
        <v>1.13340756879112</v>
      </c>
      <c r="F112">
        <v>27.429467084639501</v>
      </c>
      <c r="G112">
        <v>2</v>
      </c>
    </row>
    <row r="113" spans="1:7" x14ac:dyDescent="0.25">
      <c r="A113">
        <v>89</v>
      </c>
      <c r="B113">
        <v>2.9181581490018398</v>
      </c>
      <c r="C113">
        <v>-0.91815814900184201</v>
      </c>
      <c r="D113">
        <v>-0.88168290709630903</v>
      </c>
      <c r="F113">
        <v>27.742946708464</v>
      </c>
      <c r="G113">
        <v>2</v>
      </c>
    </row>
    <row r="114" spans="1:7" x14ac:dyDescent="0.25">
      <c r="A114">
        <v>90</v>
      </c>
      <c r="B114">
        <v>2.1470001114572499</v>
      </c>
      <c r="C114">
        <v>-0.14700011145724701</v>
      </c>
      <c r="D114">
        <v>-0.14116030637424201</v>
      </c>
      <c r="F114">
        <v>28.0564263322884</v>
      </c>
      <c r="G114">
        <v>2</v>
      </c>
    </row>
    <row r="115" spans="1:7" x14ac:dyDescent="0.25">
      <c r="A115">
        <v>91</v>
      </c>
      <c r="B115">
        <v>2.3416980746785598</v>
      </c>
      <c r="C115">
        <v>-1.3416980746785601</v>
      </c>
      <c r="D115">
        <v>-1.2883970590623599</v>
      </c>
      <c r="F115">
        <v>28.369905956112898</v>
      </c>
      <c r="G115">
        <v>2</v>
      </c>
    </row>
    <row r="116" spans="1:7" x14ac:dyDescent="0.25">
      <c r="A116">
        <v>92</v>
      </c>
      <c r="B116">
        <v>2.2846228197950702</v>
      </c>
      <c r="C116">
        <v>-1.28462281979507</v>
      </c>
      <c r="D116">
        <v>-1.23358920629359</v>
      </c>
      <c r="F116">
        <v>28.683385579937301</v>
      </c>
      <c r="G116">
        <v>2</v>
      </c>
    </row>
    <row r="117" spans="1:7" x14ac:dyDescent="0.25">
      <c r="A117">
        <v>93</v>
      </c>
      <c r="B117">
        <v>2.2771316925916101</v>
      </c>
      <c r="C117">
        <v>-1.2771316925916101</v>
      </c>
      <c r="D117">
        <v>-1.2263956756176899</v>
      </c>
      <c r="F117">
        <v>28.9968652037618</v>
      </c>
      <c r="G117">
        <v>2</v>
      </c>
    </row>
    <row r="118" spans="1:7" x14ac:dyDescent="0.25">
      <c r="A118">
        <v>94</v>
      </c>
      <c r="B118">
        <v>2.2279042852546</v>
      </c>
      <c r="C118">
        <v>-1.2279042852546</v>
      </c>
      <c r="D118">
        <v>-1.1791239026046201</v>
      </c>
      <c r="F118">
        <v>29.310344827586199</v>
      </c>
      <c r="G118">
        <v>2</v>
      </c>
    </row>
    <row r="119" spans="1:7" x14ac:dyDescent="0.25">
      <c r="A119">
        <v>95</v>
      </c>
      <c r="B119">
        <v>2.5482391532882001</v>
      </c>
      <c r="C119">
        <v>-1.5482391532882001</v>
      </c>
      <c r="D119">
        <v>-1.48673297626935</v>
      </c>
      <c r="F119">
        <v>29.623824451410702</v>
      </c>
      <c r="G119">
        <v>2</v>
      </c>
    </row>
    <row r="120" spans="1:7" x14ac:dyDescent="0.25">
      <c r="A120">
        <v>96</v>
      </c>
      <c r="B120">
        <v>2.3804022318964302</v>
      </c>
      <c r="C120">
        <v>0.61959776810356904</v>
      </c>
      <c r="D120">
        <v>0.59498329564010899</v>
      </c>
      <c r="F120">
        <v>29.937304075235101</v>
      </c>
      <c r="G120">
        <v>2</v>
      </c>
    </row>
    <row r="121" spans="1:7" x14ac:dyDescent="0.25">
      <c r="A121">
        <v>97</v>
      </c>
      <c r="B121">
        <v>2.5393211447126598</v>
      </c>
      <c r="C121">
        <v>0.46067885528734198</v>
      </c>
      <c r="D121">
        <v>0.44237768058706101</v>
      </c>
      <c r="F121">
        <v>30.2507836990596</v>
      </c>
      <c r="G121">
        <v>2</v>
      </c>
    </row>
    <row r="122" spans="1:7" x14ac:dyDescent="0.25">
      <c r="A122">
        <v>98</v>
      </c>
      <c r="B122">
        <v>2.1925889712954398</v>
      </c>
      <c r="C122">
        <v>-0.19258897129543701</v>
      </c>
      <c r="D122">
        <v>-0.18493807877329799</v>
      </c>
      <c r="F122">
        <v>30.564263322883999</v>
      </c>
      <c r="G122">
        <v>2</v>
      </c>
    </row>
    <row r="123" spans="1:7" x14ac:dyDescent="0.25">
      <c r="A123">
        <v>99</v>
      </c>
      <c r="B123">
        <v>2.6934243328980898</v>
      </c>
      <c r="C123">
        <v>0.30657566710191198</v>
      </c>
      <c r="D123">
        <v>0.29439647811137698</v>
      </c>
      <c r="F123">
        <v>30.877742946708501</v>
      </c>
      <c r="G123">
        <v>2</v>
      </c>
    </row>
    <row r="124" spans="1:7" x14ac:dyDescent="0.25">
      <c r="A124">
        <v>100</v>
      </c>
      <c r="B124">
        <v>3.19211937244261</v>
      </c>
      <c r="C124">
        <v>-0.19211937244260899</v>
      </c>
      <c r="D124">
        <v>-0.184487135455766</v>
      </c>
      <c r="F124">
        <v>31.191222570532901</v>
      </c>
      <c r="G124">
        <v>2</v>
      </c>
    </row>
    <row r="125" spans="1:7" x14ac:dyDescent="0.25">
      <c r="A125">
        <v>101</v>
      </c>
      <c r="B125">
        <v>2.14025809697414</v>
      </c>
      <c r="C125">
        <v>-1.14025809697414</v>
      </c>
      <c r="D125">
        <v>-1.0949595936965799</v>
      </c>
      <c r="F125">
        <v>31.504702194357399</v>
      </c>
      <c r="G125">
        <v>2</v>
      </c>
    </row>
    <row r="126" spans="1:7" x14ac:dyDescent="0.25">
      <c r="A126">
        <v>102</v>
      </c>
      <c r="B126">
        <v>2.5699990942125401</v>
      </c>
      <c r="C126">
        <v>-1.5699990942125399</v>
      </c>
      <c r="D126">
        <v>-1.50762847013745</v>
      </c>
      <c r="F126">
        <v>31.818181818181799</v>
      </c>
      <c r="G126">
        <v>2</v>
      </c>
    </row>
    <row r="127" spans="1:7" x14ac:dyDescent="0.25">
      <c r="A127">
        <v>103</v>
      </c>
      <c r="B127">
        <v>3.6187569026967199</v>
      </c>
      <c r="C127">
        <v>0.38124309730328099</v>
      </c>
      <c r="D127">
        <v>0.36609763002831303</v>
      </c>
      <c r="F127">
        <v>32.131661442006298</v>
      </c>
      <c r="G127">
        <v>2</v>
      </c>
    </row>
    <row r="128" spans="1:7" x14ac:dyDescent="0.25">
      <c r="A128">
        <v>104</v>
      </c>
      <c r="B128">
        <v>2.2846228197950702</v>
      </c>
      <c r="C128">
        <v>-1.28462281979507</v>
      </c>
      <c r="D128">
        <v>-1.23358920629359</v>
      </c>
      <c r="F128">
        <v>32.445141065830697</v>
      </c>
      <c r="G128">
        <v>2</v>
      </c>
    </row>
    <row r="129" spans="1:7" x14ac:dyDescent="0.25">
      <c r="A129">
        <v>105</v>
      </c>
      <c r="B129">
        <v>2.2632195992137598</v>
      </c>
      <c r="C129">
        <v>1.73678040078624</v>
      </c>
      <c r="D129">
        <v>1.6677841332866401</v>
      </c>
      <c r="F129">
        <v>32.758620689655203</v>
      </c>
      <c r="G129">
        <v>2</v>
      </c>
    </row>
    <row r="130" spans="1:7" x14ac:dyDescent="0.25">
      <c r="A130">
        <v>106</v>
      </c>
      <c r="B130">
        <v>2.4430066520967602</v>
      </c>
      <c r="C130">
        <v>-0.44300665209676299</v>
      </c>
      <c r="D130">
        <v>-0.42540753279628402</v>
      </c>
      <c r="F130">
        <v>33.072100313479602</v>
      </c>
      <c r="G130">
        <v>2</v>
      </c>
    </row>
    <row r="131" spans="1:7" x14ac:dyDescent="0.25">
      <c r="A131">
        <v>107</v>
      </c>
      <c r="B131">
        <v>2.7554936725838899</v>
      </c>
      <c r="C131">
        <v>0.244506327416113</v>
      </c>
      <c r="D131">
        <v>0.234792938225338</v>
      </c>
      <c r="F131">
        <v>33.385579937304101</v>
      </c>
      <c r="G131">
        <v>2</v>
      </c>
    </row>
    <row r="132" spans="1:7" x14ac:dyDescent="0.25">
      <c r="A132">
        <v>108</v>
      </c>
      <c r="B132">
        <v>2.21698864275813</v>
      </c>
      <c r="C132">
        <v>1.78301135724187</v>
      </c>
      <c r="D132">
        <v>1.7121784940293501</v>
      </c>
      <c r="F132">
        <v>33.6990595611285</v>
      </c>
      <c r="G132">
        <v>2</v>
      </c>
    </row>
    <row r="133" spans="1:7" x14ac:dyDescent="0.25">
      <c r="A133">
        <v>109</v>
      </c>
      <c r="B133">
        <v>2.3274292609576901</v>
      </c>
      <c r="C133">
        <v>-0.32742926095768998</v>
      </c>
      <c r="D133">
        <v>-0.31442163093952202</v>
      </c>
      <c r="F133">
        <v>34.012539184952999</v>
      </c>
      <c r="G133">
        <v>2</v>
      </c>
    </row>
    <row r="134" spans="1:7" x14ac:dyDescent="0.25">
      <c r="A134">
        <v>110</v>
      </c>
      <c r="B134">
        <v>2.6441969255610802</v>
      </c>
      <c r="C134">
        <v>1.35580307443892</v>
      </c>
      <c r="D134">
        <v>1.3019417160550899</v>
      </c>
      <c r="F134">
        <v>34.326018808777398</v>
      </c>
      <c r="G134">
        <v>2</v>
      </c>
    </row>
    <row r="135" spans="1:7" x14ac:dyDescent="0.25">
      <c r="A135">
        <v>111</v>
      </c>
      <c r="B135">
        <v>3.3961634086511001</v>
      </c>
      <c r="C135">
        <v>0.603836591348903</v>
      </c>
      <c r="D135">
        <v>0.579848255826523</v>
      </c>
      <c r="F135">
        <v>34.639498432601897</v>
      </c>
      <c r="G135">
        <v>2</v>
      </c>
    </row>
    <row r="136" spans="1:7" x14ac:dyDescent="0.25">
      <c r="A136">
        <v>112</v>
      </c>
      <c r="B136">
        <v>2.1669051065978699</v>
      </c>
      <c r="C136">
        <v>0.83309489340213505</v>
      </c>
      <c r="D136">
        <v>0.79999891990329597</v>
      </c>
      <c r="F136">
        <v>34.952978056426304</v>
      </c>
      <c r="G136">
        <v>2</v>
      </c>
    </row>
    <row r="137" spans="1:7" x14ac:dyDescent="0.25">
      <c r="A137">
        <v>113</v>
      </c>
      <c r="B137">
        <v>2.1540631742490799</v>
      </c>
      <c r="C137">
        <v>-0.154063174249079</v>
      </c>
      <c r="D137">
        <v>-0.14794277815437801</v>
      </c>
      <c r="F137">
        <v>35.266457680250802</v>
      </c>
      <c r="G137">
        <v>2</v>
      </c>
    </row>
    <row r="138" spans="1:7" x14ac:dyDescent="0.25">
      <c r="A138">
        <v>114</v>
      </c>
      <c r="B138">
        <v>2.1470001114572499</v>
      </c>
      <c r="C138">
        <v>-0.14700011145724701</v>
      </c>
      <c r="D138">
        <v>-0.14116030637424201</v>
      </c>
      <c r="F138">
        <v>35.579937304075202</v>
      </c>
      <c r="G138">
        <v>2</v>
      </c>
    </row>
    <row r="139" spans="1:7" x14ac:dyDescent="0.25">
      <c r="A139">
        <v>115</v>
      </c>
      <c r="B139">
        <v>2.1733260727722601</v>
      </c>
      <c r="C139">
        <v>1.8266739272277399</v>
      </c>
      <c r="D139">
        <v>1.7541065013974599</v>
      </c>
      <c r="F139">
        <v>35.8934169278997</v>
      </c>
      <c r="G139">
        <v>2</v>
      </c>
    </row>
    <row r="140" spans="1:7" x14ac:dyDescent="0.25">
      <c r="A140">
        <v>116</v>
      </c>
      <c r="B140">
        <v>2.1540631742490799</v>
      </c>
      <c r="C140">
        <v>-0.154063174249079</v>
      </c>
      <c r="D140">
        <v>-0.14794277815437801</v>
      </c>
      <c r="F140">
        <v>36.2068965517241</v>
      </c>
      <c r="G140">
        <v>2</v>
      </c>
    </row>
    <row r="141" spans="1:7" x14ac:dyDescent="0.25">
      <c r="A141">
        <v>117</v>
      </c>
      <c r="B141">
        <v>2.2846228197950702</v>
      </c>
      <c r="C141">
        <v>-1.28462281979507</v>
      </c>
      <c r="D141">
        <v>-1.23358920629359</v>
      </c>
      <c r="F141">
        <v>36.520376175548598</v>
      </c>
      <c r="G141">
        <v>2</v>
      </c>
    </row>
    <row r="142" spans="1:7" x14ac:dyDescent="0.25">
      <c r="A142">
        <v>118</v>
      </c>
      <c r="B142">
        <v>2.3081663624345099</v>
      </c>
      <c r="C142">
        <v>-0.30816636243451101</v>
      </c>
      <c r="D142">
        <v>-0.29592398063006098</v>
      </c>
      <c r="F142">
        <v>36.833855799372998</v>
      </c>
      <c r="G142">
        <v>2</v>
      </c>
    </row>
    <row r="143" spans="1:7" x14ac:dyDescent="0.25">
      <c r="A143">
        <v>119</v>
      </c>
      <c r="B143">
        <v>2.1562034963072101</v>
      </c>
      <c r="C143">
        <v>-0.156203496307211</v>
      </c>
      <c r="D143">
        <v>-0.149998072633207</v>
      </c>
      <c r="F143">
        <v>37.147335423197497</v>
      </c>
      <c r="G143">
        <v>2</v>
      </c>
    </row>
    <row r="144" spans="1:7" x14ac:dyDescent="0.25">
      <c r="A144">
        <v>120</v>
      </c>
      <c r="B144">
        <v>2.1547766149351202</v>
      </c>
      <c r="C144">
        <v>-1.15477661493512</v>
      </c>
      <c r="D144">
        <v>-1.10890134124464</v>
      </c>
      <c r="F144">
        <v>37.460815047022002</v>
      </c>
      <c r="G144">
        <v>2</v>
      </c>
    </row>
    <row r="145" spans="1:7" x14ac:dyDescent="0.25">
      <c r="A145">
        <v>121</v>
      </c>
      <c r="B145">
        <v>2.4622695506199399</v>
      </c>
      <c r="C145">
        <v>1.5377304493800601</v>
      </c>
      <c r="D145">
        <v>1.4766417467555499</v>
      </c>
      <c r="F145">
        <v>37.774294670846402</v>
      </c>
      <c r="G145">
        <v>2</v>
      </c>
    </row>
    <row r="146" spans="1:7" x14ac:dyDescent="0.25">
      <c r="A146">
        <v>122</v>
      </c>
      <c r="B146">
        <v>2.1636946235106702</v>
      </c>
      <c r="C146">
        <v>-1.16369462351067</v>
      </c>
      <c r="D146">
        <v>-1.11746506823976</v>
      </c>
      <c r="F146">
        <v>38.087774294670901</v>
      </c>
      <c r="G146">
        <v>2</v>
      </c>
    </row>
    <row r="147" spans="1:7" x14ac:dyDescent="0.25">
      <c r="A147">
        <v>123</v>
      </c>
      <c r="B147">
        <v>3.19211937244261</v>
      </c>
      <c r="C147">
        <v>-0.19211937244260899</v>
      </c>
      <c r="D147">
        <v>-0.184487135455766</v>
      </c>
      <c r="F147">
        <v>38.4012539184953</v>
      </c>
      <c r="G147">
        <v>2</v>
      </c>
    </row>
    <row r="148" spans="1:7" x14ac:dyDescent="0.25">
      <c r="A148">
        <v>124</v>
      </c>
      <c r="B148">
        <v>2.2215546631488099</v>
      </c>
      <c r="C148">
        <v>1.7784453368511901</v>
      </c>
      <c r="D148">
        <v>1.70779386580784</v>
      </c>
      <c r="F148">
        <v>38.714733542319799</v>
      </c>
      <c r="G148">
        <v>2</v>
      </c>
    </row>
    <row r="149" spans="1:7" x14ac:dyDescent="0.25">
      <c r="A149">
        <v>125</v>
      </c>
      <c r="B149">
        <v>2.1673331710094899</v>
      </c>
      <c r="C149">
        <v>1.8326668289905099</v>
      </c>
      <c r="D149">
        <v>1.7598613259381799</v>
      </c>
      <c r="F149">
        <v>39.028213166144198</v>
      </c>
      <c r="G149">
        <v>2</v>
      </c>
    </row>
    <row r="150" spans="1:7" x14ac:dyDescent="0.25">
      <c r="A150">
        <v>126</v>
      </c>
      <c r="B150">
        <v>2.1964415510000701</v>
      </c>
      <c r="C150">
        <v>0.80355844899992701</v>
      </c>
      <c r="D150">
        <v>0.77163585609545704</v>
      </c>
      <c r="F150">
        <v>39.341692789968697</v>
      </c>
      <c r="G150">
        <v>2</v>
      </c>
    </row>
    <row r="151" spans="1:7" x14ac:dyDescent="0.25">
      <c r="A151">
        <v>127</v>
      </c>
      <c r="B151">
        <v>2.1925889712954398</v>
      </c>
      <c r="C151">
        <v>-0.19258897129543701</v>
      </c>
      <c r="D151">
        <v>-0.18493807877329799</v>
      </c>
      <c r="F151">
        <v>39.655172413793103</v>
      </c>
      <c r="G151">
        <v>2</v>
      </c>
    </row>
    <row r="152" spans="1:7" x14ac:dyDescent="0.25">
      <c r="A152">
        <v>128</v>
      </c>
      <c r="B152">
        <v>2.2166675944494099</v>
      </c>
      <c r="C152">
        <v>-1.2166675944494101</v>
      </c>
      <c r="D152">
        <v>-1.1683336065907699</v>
      </c>
      <c r="F152">
        <v>39.968652037617602</v>
      </c>
      <c r="G152">
        <v>2</v>
      </c>
    </row>
    <row r="153" spans="1:7" x14ac:dyDescent="0.25">
      <c r="A153">
        <v>129</v>
      </c>
      <c r="B153">
        <v>2.1493544657211898</v>
      </c>
      <c r="C153">
        <v>-0.14935446572119099</v>
      </c>
      <c r="D153">
        <v>-0.14342113030095399</v>
      </c>
      <c r="F153">
        <v>40.282131661442001</v>
      </c>
      <c r="G153">
        <v>2</v>
      </c>
    </row>
    <row r="154" spans="1:7" x14ac:dyDescent="0.25">
      <c r="A154">
        <v>130</v>
      </c>
      <c r="B154">
        <v>3.8755955496724401</v>
      </c>
      <c r="C154">
        <v>0.12440445032756201</v>
      </c>
      <c r="D154">
        <v>0.119462292568841</v>
      </c>
      <c r="F154">
        <v>40.5956112852665</v>
      </c>
      <c r="G154">
        <v>2</v>
      </c>
    </row>
    <row r="155" spans="1:7" x14ac:dyDescent="0.25">
      <c r="A155">
        <v>131</v>
      </c>
      <c r="B155">
        <v>2.1521368843967599</v>
      </c>
      <c r="C155">
        <v>0.84786311560323802</v>
      </c>
      <c r="D155">
        <v>0.81418045180721599</v>
      </c>
      <c r="F155">
        <v>40.909090909090899</v>
      </c>
      <c r="G155">
        <v>2</v>
      </c>
    </row>
    <row r="156" spans="1:7" x14ac:dyDescent="0.25">
      <c r="A156">
        <v>132</v>
      </c>
      <c r="B156">
        <v>2.16048414042347</v>
      </c>
      <c r="C156">
        <v>0.83951585957652797</v>
      </c>
      <c r="D156">
        <v>0.80616480333978302</v>
      </c>
      <c r="F156">
        <v>41.222570532915398</v>
      </c>
      <c r="G156">
        <v>2</v>
      </c>
    </row>
    <row r="157" spans="1:7" x14ac:dyDescent="0.25">
      <c r="A157">
        <v>133</v>
      </c>
      <c r="B157">
        <v>2.3894986006434902</v>
      </c>
      <c r="C157">
        <v>-0.38949860064348801</v>
      </c>
      <c r="D157">
        <v>-0.37402517082556103</v>
      </c>
      <c r="F157">
        <v>41.536050156739798</v>
      </c>
      <c r="G157">
        <v>2</v>
      </c>
    </row>
    <row r="158" spans="1:7" x14ac:dyDescent="0.25">
      <c r="A158">
        <v>134</v>
      </c>
      <c r="B158">
        <v>2.3210082947833</v>
      </c>
      <c r="C158">
        <v>-1.3210082947833</v>
      </c>
      <c r="D158">
        <v>-1.26852921243368</v>
      </c>
      <c r="F158">
        <v>41.849529780564303</v>
      </c>
      <c r="G158">
        <v>2</v>
      </c>
    </row>
    <row r="159" spans="1:7" x14ac:dyDescent="0.25">
      <c r="A159">
        <v>135</v>
      </c>
      <c r="B159">
        <v>2.1529930132200099</v>
      </c>
      <c r="C159">
        <v>-0.15299301322001399</v>
      </c>
      <c r="D159">
        <v>-0.146915130914963</v>
      </c>
      <c r="F159">
        <v>42.163009404388703</v>
      </c>
      <c r="G159">
        <v>2</v>
      </c>
    </row>
    <row r="160" spans="1:7" x14ac:dyDescent="0.25">
      <c r="A160">
        <v>136</v>
      </c>
      <c r="B160">
        <v>2.8796323519554901</v>
      </c>
      <c r="C160">
        <v>-0.87963235195548495</v>
      </c>
      <c r="D160">
        <v>-0.84468760647738805</v>
      </c>
      <c r="F160">
        <v>42.476489028213201</v>
      </c>
      <c r="G160">
        <v>2</v>
      </c>
    </row>
    <row r="161" spans="1:7" x14ac:dyDescent="0.25">
      <c r="A161">
        <v>137</v>
      </c>
      <c r="B161">
        <v>2.2262990437110002</v>
      </c>
      <c r="C161">
        <v>0.77370095628900004</v>
      </c>
      <c r="D161">
        <v>0.74296449811579302</v>
      </c>
      <c r="F161">
        <v>42.789968652037601</v>
      </c>
      <c r="G161">
        <v>2</v>
      </c>
    </row>
    <row r="162" spans="1:7" x14ac:dyDescent="0.25">
      <c r="A162">
        <v>138</v>
      </c>
      <c r="B162">
        <v>2.4601292285618102</v>
      </c>
      <c r="C162">
        <v>-0.46012922856181099</v>
      </c>
      <c r="D162">
        <v>-0.44184988862691599</v>
      </c>
      <c r="F162">
        <v>43.1034482758621</v>
      </c>
      <c r="G162">
        <v>2</v>
      </c>
    </row>
    <row r="163" spans="1:7" x14ac:dyDescent="0.25">
      <c r="A163">
        <v>139</v>
      </c>
      <c r="B163">
        <v>2.1930170357070602</v>
      </c>
      <c r="C163">
        <v>0.80698296429293703</v>
      </c>
      <c r="D163">
        <v>0.774924327261583</v>
      </c>
      <c r="F163">
        <v>43.416927899686499</v>
      </c>
      <c r="G163">
        <v>2</v>
      </c>
    </row>
    <row r="164" spans="1:7" x14ac:dyDescent="0.25">
      <c r="A164">
        <v>140</v>
      </c>
      <c r="B164">
        <v>2.4865265339454301</v>
      </c>
      <c r="C164">
        <v>1.5134734660545699</v>
      </c>
      <c r="D164">
        <v>1.45334840932882</v>
      </c>
      <c r="F164">
        <v>43.730407523510998</v>
      </c>
      <c r="G164">
        <v>2</v>
      </c>
    </row>
    <row r="165" spans="1:7" x14ac:dyDescent="0.25">
      <c r="A165">
        <v>141</v>
      </c>
      <c r="B165">
        <v>2.2027198290372598</v>
      </c>
      <c r="C165">
        <v>1.79728017096274</v>
      </c>
      <c r="D165">
        <v>1.72588045722154</v>
      </c>
      <c r="F165">
        <v>44.043887147335397</v>
      </c>
      <c r="G165">
        <v>2</v>
      </c>
    </row>
    <row r="166" spans="1:7" x14ac:dyDescent="0.25">
      <c r="A166">
        <v>142</v>
      </c>
      <c r="B166">
        <v>2.19472929335357</v>
      </c>
      <c r="C166">
        <v>0.80527070664643197</v>
      </c>
      <c r="D166">
        <v>0.77328009167851997</v>
      </c>
      <c r="F166">
        <v>44.357366771159903</v>
      </c>
      <c r="G166">
        <v>2</v>
      </c>
    </row>
    <row r="167" spans="1:7" x14ac:dyDescent="0.25">
      <c r="A167">
        <v>143</v>
      </c>
      <c r="B167">
        <v>2.9616780308505102</v>
      </c>
      <c r="C167">
        <v>-0.96167803085050596</v>
      </c>
      <c r="D167">
        <v>-0.92347389483249698</v>
      </c>
      <c r="F167">
        <v>44.670846394984302</v>
      </c>
      <c r="G167">
        <v>2</v>
      </c>
    </row>
    <row r="168" spans="1:7" x14ac:dyDescent="0.25">
      <c r="A168">
        <v>144</v>
      </c>
      <c r="B168">
        <v>2.1887363915907998</v>
      </c>
      <c r="C168">
        <v>0.81126360840919798</v>
      </c>
      <c r="D168">
        <v>0.77903491621924104</v>
      </c>
      <c r="F168">
        <v>44.984326018808801</v>
      </c>
      <c r="G168">
        <v>2</v>
      </c>
    </row>
    <row r="169" spans="1:7" x14ac:dyDescent="0.25">
      <c r="A169">
        <v>145</v>
      </c>
      <c r="B169">
        <v>2.3416980746785598</v>
      </c>
      <c r="C169">
        <v>-1.3416980746785601</v>
      </c>
      <c r="D169">
        <v>-1.2883970590623599</v>
      </c>
      <c r="F169">
        <v>45.2978056426332</v>
      </c>
      <c r="G169">
        <v>2</v>
      </c>
    </row>
    <row r="170" spans="1:7" x14ac:dyDescent="0.25">
      <c r="A170">
        <v>146</v>
      </c>
      <c r="B170">
        <v>2.1781774694373599</v>
      </c>
      <c r="C170">
        <v>-0.17817746943735599</v>
      </c>
      <c r="D170">
        <v>-0.17109909594918399</v>
      </c>
      <c r="F170">
        <v>45.611285266457699</v>
      </c>
      <c r="G170">
        <v>2</v>
      </c>
    </row>
    <row r="171" spans="1:7" x14ac:dyDescent="0.25">
      <c r="A171">
        <v>147</v>
      </c>
      <c r="B171">
        <v>2.1420773707235501</v>
      </c>
      <c r="C171">
        <v>-1.1420773707235501</v>
      </c>
      <c r="D171">
        <v>-1.0967065940035801</v>
      </c>
      <c r="F171">
        <v>45.924764890282098</v>
      </c>
      <c r="G171">
        <v>2</v>
      </c>
    </row>
    <row r="172" spans="1:7" x14ac:dyDescent="0.25">
      <c r="A172">
        <v>148</v>
      </c>
      <c r="B172">
        <v>2.2439567006905801</v>
      </c>
      <c r="C172">
        <v>1.7560432993094199</v>
      </c>
      <c r="D172">
        <v>1.6862817835960999</v>
      </c>
      <c r="F172">
        <v>46.238244514106597</v>
      </c>
      <c r="G172">
        <v>2</v>
      </c>
    </row>
    <row r="173" spans="1:7" x14ac:dyDescent="0.25">
      <c r="A173">
        <v>149</v>
      </c>
      <c r="B173">
        <v>3.3098370856398098</v>
      </c>
      <c r="C173">
        <v>-0.30983708563981299</v>
      </c>
      <c r="D173">
        <v>-0.29752833179135701</v>
      </c>
      <c r="F173">
        <v>46.551724137930997</v>
      </c>
      <c r="G173">
        <v>2</v>
      </c>
    </row>
    <row r="174" spans="1:7" x14ac:dyDescent="0.25">
      <c r="A174">
        <v>150</v>
      </c>
      <c r="B174">
        <v>2.48723997463147</v>
      </c>
      <c r="C174">
        <v>-1.48723997463147</v>
      </c>
      <c r="D174">
        <v>-1.42815708362273</v>
      </c>
      <c r="F174">
        <v>46.865203761755502</v>
      </c>
      <c r="G174">
        <v>2</v>
      </c>
    </row>
    <row r="175" spans="1:7" x14ac:dyDescent="0.25">
      <c r="A175">
        <v>151</v>
      </c>
      <c r="B175">
        <v>2.6741614343749101</v>
      </c>
      <c r="C175">
        <v>1.3258385656250899</v>
      </c>
      <c r="D175">
        <v>1.2731675933514901</v>
      </c>
      <c r="F175">
        <v>47.178683385579902</v>
      </c>
      <c r="G175">
        <v>2</v>
      </c>
    </row>
    <row r="176" spans="1:7" x14ac:dyDescent="0.25">
      <c r="A176">
        <v>152</v>
      </c>
      <c r="B176">
        <v>2.1529930132200099</v>
      </c>
      <c r="C176">
        <v>-0.15299301322001399</v>
      </c>
      <c r="D176">
        <v>-0.146915130914963</v>
      </c>
      <c r="F176">
        <v>47.4921630094044</v>
      </c>
      <c r="G176">
        <v>2</v>
      </c>
    </row>
    <row r="177" spans="1:7" x14ac:dyDescent="0.25">
      <c r="A177">
        <v>153</v>
      </c>
      <c r="B177">
        <v>2.29853491317292</v>
      </c>
      <c r="C177">
        <v>-0.29853491317292102</v>
      </c>
      <c r="D177">
        <v>-0.28667515547533101</v>
      </c>
      <c r="F177">
        <v>47.8056426332288</v>
      </c>
      <c r="G177">
        <v>2</v>
      </c>
    </row>
    <row r="178" spans="1:7" x14ac:dyDescent="0.25">
      <c r="A178">
        <v>154</v>
      </c>
      <c r="B178">
        <v>2.1707576863025002</v>
      </c>
      <c r="C178">
        <v>-0.17075768630250099</v>
      </c>
      <c r="D178">
        <v>-0.163974075089243</v>
      </c>
      <c r="F178">
        <v>48.119122257053299</v>
      </c>
      <c r="G178">
        <v>2</v>
      </c>
    </row>
    <row r="179" spans="1:7" x14ac:dyDescent="0.25">
      <c r="A179">
        <v>155</v>
      </c>
      <c r="B179">
        <v>2.1964415510000701</v>
      </c>
      <c r="C179">
        <v>0.80355844899992701</v>
      </c>
      <c r="D179">
        <v>0.77163585609545704</v>
      </c>
      <c r="F179">
        <v>48.432601880877797</v>
      </c>
      <c r="G179">
        <v>2</v>
      </c>
    </row>
    <row r="180" spans="1:7" x14ac:dyDescent="0.25">
      <c r="A180">
        <v>156</v>
      </c>
      <c r="B180">
        <v>3.0051979126991699</v>
      </c>
      <c r="C180">
        <v>-1.0051979126991699</v>
      </c>
      <c r="D180">
        <v>-0.96526488256868603</v>
      </c>
      <c r="F180">
        <v>48.746081504702197</v>
      </c>
      <c r="G180">
        <v>2</v>
      </c>
    </row>
    <row r="181" spans="1:7" x14ac:dyDescent="0.25">
      <c r="A181">
        <v>157</v>
      </c>
      <c r="B181">
        <v>2.8796323519554901</v>
      </c>
      <c r="C181">
        <v>1.1203676480445199</v>
      </c>
      <c r="D181">
        <v>1.07585932338391</v>
      </c>
      <c r="F181">
        <v>49.059561128526703</v>
      </c>
      <c r="G181">
        <v>2</v>
      </c>
    </row>
    <row r="182" spans="1:7" x14ac:dyDescent="0.25">
      <c r="A182">
        <v>158</v>
      </c>
      <c r="B182">
        <v>2.2311147683417998</v>
      </c>
      <c r="C182">
        <v>0.76888523165820499</v>
      </c>
      <c r="D182">
        <v>0.738340085538428</v>
      </c>
      <c r="F182">
        <v>49.373040752351102</v>
      </c>
      <c r="G182">
        <v>2</v>
      </c>
    </row>
    <row r="183" spans="1:7" x14ac:dyDescent="0.25">
      <c r="A183">
        <v>159</v>
      </c>
      <c r="B183">
        <v>2.3416980746785598</v>
      </c>
      <c r="C183">
        <v>-0.341698074678563</v>
      </c>
      <c r="D183">
        <v>-0.32812359413171499</v>
      </c>
      <c r="F183">
        <v>49.686520376175601</v>
      </c>
      <c r="G183">
        <v>2</v>
      </c>
    </row>
    <row r="184" spans="1:7" x14ac:dyDescent="0.25">
      <c r="A184">
        <v>160</v>
      </c>
      <c r="B184">
        <v>2.40448085505041</v>
      </c>
      <c r="C184">
        <v>-0.40448085505040499</v>
      </c>
      <c r="D184">
        <v>-0.38841223217736298</v>
      </c>
      <c r="F184">
        <v>50</v>
      </c>
      <c r="G184">
        <v>2</v>
      </c>
    </row>
    <row r="185" spans="1:7" x14ac:dyDescent="0.25">
      <c r="A185">
        <v>161</v>
      </c>
      <c r="B185">
        <v>2.2227318402807801</v>
      </c>
      <c r="C185">
        <v>-1.2227318402807801</v>
      </c>
      <c r="D185">
        <v>-1.1741569409474499</v>
      </c>
      <c r="F185">
        <v>50.313479623824499</v>
      </c>
      <c r="G185">
        <v>2</v>
      </c>
    </row>
    <row r="186" spans="1:7" x14ac:dyDescent="0.25">
      <c r="A186">
        <v>162</v>
      </c>
      <c r="B186">
        <v>2.19472929335357</v>
      </c>
      <c r="C186">
        <v>0.80527070664643197</v>
      </c>
      <c r="D186">
        <v>0.77328009167851997</v>
      </c>
      <c r="F186">
        <v>50.626959247648898</v>
      </c>
      <c r="G186">
        <v>2</v>
      </c>
    </row>
    <row r="187" spans="1:7" x14ac:dyDescent="0.25">
      <c r="A187">
        <v>163</v>
      </c>
      <c r="B187">
        <v>2.1553473674839601</v>
      </c>
      <c r="C187">
        <v>-1.1553473674839601</v>
      </c>
      <c r="D187">
        <v>-1.1094494197723199</v>
      </c>
      <c r="F187">
        <v>50.940438871473397</v>
      </c>
      <c r="G187">
        <v>2</v>
      </c>
    </row>
    <row r="188" spans="1:7" x14ac:dyDescent="0.25">
      <c r="A188">
        <v>164</v>
      </c>
      <c r="B188">
        <v>2.3313531847309301</v>
      </c>
      <c r="C188">
        <v>-1.3313531847309299</v>
      </c>
      <c r="D188">
        <v>-1.2784631357480201</v>
      </c>
      <c r="F188">
        <v>51.253918495297803</v>
      </c>
      <c r="G188">
        <v>2</v>
      </c>
    </row>
    <row r="189" spans="1:7" x14ac:dyDescent="0.25">
      <c r="A189">
        <v>165</v>
      </c>
      <c r="B189">
        <v>2.1652998650542701</v>
      </c>
      <c r="C189">
        <v>0.83470013494573303</v>
      </c>
      <c r="D189">
        <v>0.80154039076241801</v>
      </c>
      <c r="F189">
        <v>51.567398119122302</v>
      </c>
      <c r="G189">
        <v>2</v>
      </c>
    </row>
    <row r="190" spans="1:7" x14ac:dyDescent="0.25">
      <c r="A190">
        <v>166</v>
      </c>
      <c r="B190">
        <v>2.1429334995468001</v>
      </c>
      <c r="C190">
        <v>-1.1429334995467999</v>
      </c>
      <c r="D190">
        <v>-1.09752871179511</v>
      </c>
      <c r="F190">
        <v>51.880877742946701</v>
      </c>
      <c r="G190">
        <v>2</v>
      </c>
    </row>
    <row r="191" spans="1:7" x14ac:dyDescent="0.25">
      <c r="A191">
        <v>167</v>
      </c>
      <c r="B191">
        <v>2.14025809697414</v>
      </c>
      <c r="C191">
        <v>-1.14025809697414</v>
      </c>
      <c r="D191">
        <v>-1.0949595936965799</v>
      </c>
      <c r="F191">
        <v>52.1943573667712</v>
      </c>
      <c r="G191">
        <v>2</v>
      </c>
    </row>
    <row r="192" spans="1:7" x14ac:dyDescent="0.25">
      <c r="A192">
        <v>168</v>
      </c>
      <c r="B192">
        <v>3.4403967311858001</v>
      </c>
      <c r="C192">
        <v>-0.44039673118580303</v>
      </c>
      <c r="D192">
        <v>-0.42290129499992202</v>
      </c>
      <c r="F192">
        <v>52.5078369905956</v>
      </c>
      <c r="G192">
        <v>2</v>
      </c>
    </row>
    <row r="193" spans="1:7" x14ac:dyDescent="0.25">
      <c r="A193">
        <v>169</v>
      </c>
      <c r="B193">
        <v>2.14443172498749</v>
      </c>
      <c r="C193">
        <v>-1.14443172498749</v>
      </c>
      <c r="D193">
        <v>-1.0989674179303</v>
      </c>
      <c r="F193">
        <v>52.821316614420098</v>
      </c>
      <c r="G193">
        <v>2</v>
      </c>
    </row>
    <row r="194" spans="1:7" x14ac:dyDescent="0.25">
      <c r="A194">
        <v>170</v>
      </c>
      <c r="B194">
        <v>2.2261206835394902</v>
      </c>
      <c r="C194">
        <v>1.77387931646051</v>
      </c>
      <c r="D194">
        <v>1.7034092375863401</v>
      </c>
      <c r="F194">
        <v>53.134796238244498</v>
      </c>
      <c r="G194">
        <v>2</v>
      </c>
    </row>
    <row r="195" spans="1:7" x14ac:dyDescent="0.25">
      <c r="A195">
        <v>171</v>
      </c>
      <c r="B195">
        <v>2.1540631742490799</v>
      </c>
      <c r="C195">
        <v>0.845936825750921</v>
      </c>
      <c r="D195">
        <v>0.81233068677626996</v>
      </c>
      <c r="F195">
        <v>53.448275862069003</v>
      </c>
      <c r="G195">
        <v>2</v>
      </c>
    </row>
    <row r="196" spans="1:7" x14ac:dyDescent="0.25">
      <c r="A196">
        <v>172</v>
      </c>
      <c r="B196">
        <v>2.1529930132200099</v>
      </c>
      <c r="C196">
        <v>-0.15299301322001399</v>
      </c>
      <c r="D196">
        <v>-0.146915130914963</v>
      </c>
      <c r="F196">
        <v>53.761755485893403</v>
      </c>
      <c r="G196">
        <v>2</v>
      </c>
    </row>
    <row r="197" spans="1:7" x14ac:dyDescent="0.25">
      <c r="A197">
        <v>173</v>
      </c>
      <c r="B197">
        <v>3.24776774595402</v>
      </c>
      <c r="C197">
        <v>-0.24776774595401499</v>
      </c>
      <c r="D197">
        <v>-0.23792479190531801</v>
      </c>
      <c r="F197">
        <v>54.075235109717902</v>
      </c>
      <c r="G197">
        <v>2</v>
      </c>
    </row>
    <row r="198" spans="1:7" x14ac:dyDescent="0.25">
      <c r="A198">
        <v>174</v>
      </c>
      <c r="B198">
        <v>2.3985949693905502</v>
      </c>
      <c r="C198">
        <v>0.60140503060945505</v>
      </c>
      <c r="D198">
        <v>0.57751329257006401</v>
      </c>
      <c r="F198">
        <v>54.388714733542301</v>
      </c>
      <c r="G198">
        <v>2</v>
      </c>
    </row>
    <row r="199" spans="1:7" x14ac:dyDescent="0.25">
      <c r="A199">
        <v>175</v>
      </c>
      <c r="B199">
        <v>2.41946310945732</v>
      </c>
      <c r="C199">
        <v>-0.41946310945732201</v>
      </c>
      <c r="D199">
        <v>-0.40279929352916599</v>
      </c>
      <c r="F199">
        <v>54.7021943573668</v>
      </c>
      <c r="G199">
        <v>2</v>
      </c>
    </row>
    <row r="200" spans="1:7" x14ac:dyDescent="0.25">
      <c r="A200">
        <v>176</v>
      </c>
      <c r="B200">
        <v>3.2520483900702799</v>
      </c>
      <c r="C200">
        <v>-0.25204839007027702</v>
      </c>
      <c r="D200">
        <v>-0.24203538086297599</v>
      </c>
      <c r="F200">
        <v>55.015673981191199</v>
      </c>
      <c r="G200">
        <v>3</v>
      </c>
    </row>
    <row r="201" spans="1:7" x14ac:dyDescent="0.25">
      <c r="A201">
        <v>177</v>
      </c>
      <c r="B201">
        <v>2.96239147153655</v>
      </c>
      <c r="C201">
        <v>-0.96239147153655002</v>
      </c>
      <c r="D201">
        <v>-0.92415899299210702</v>
      </c>
      <c r="F201">
        <v>55.329153605015698</v>
      </c>
      <c r="G201">
        <v>3</v>
      </c>
    </row>
    <row r="202" spans="1:7" x14ac:dyDescent="0.25">
      <c r="A202">
        <v>178</v>
      </c>
      <c r="B202">
        <v>2.3274292609576901</v>
      </c>
      <c r="C202">
        <v>-0.32742926095768998</v>
      </c>
      <c r="D202">
        <v>-0.31442163093952202</v>
      </c>
      <c r="F202">
        <v>55.642633228840097</v>
      </c>
      <c r="G202">
        <v>3</v>
      </c>
    </row>
    <row r="203" spans="1:7" x14ac:dyDescent="0.25">
      <c r="A203">
        <v>179</v>
      </c>
      <c r="B203">
        <v>2.2067150968790998</v>
      </c>
      <c r="C203">
        <v>1.7932849031208999</v>
      </c>
      <c r="D203">
        <v>1.7220439075277301</v>
      </c>
      <c r="F203">
        <v>55.956112852664603</v>
      </c>
      <c r="G203">
        <v>3</v>
      </c>
    </row>
    <row r="204" spans="1:7" x14ac:dyDescent="0.25">
      <c r="A204">
        <v>180</v>
      </c>
      <c r="B204">
        <v>2.29853491317292</v>
      </c>
      <c r="C204">
        <v>-0.29853491317292102</v>
      </c>
      <c r="D204">
        <v>-0.28667515547533101</v>
      </c>
      <c r="F204">
        <v>56.269592476489002</v>
      </c>
      <c r="G204">
        <v>3</v>
      </c>
    </row>
    <row r="205" spans="1:7" x14ac:dyDescent="0.25">
      <c r="A205">
        <v>181</v>
      </c>
      <c r="B205">
        <v>3.0808226254197999</v>
      </c>
      <c r="C205">
        <v>-8.0822625419797206E-2</v>
      </c>
      <c r="D205">
        <v>-7.7611822556660506E-2</v>
      </c>
      <c r="F205">
        <v>56.583072100313501</v>
      </c>
      <c r="G205">
        <v>3</v>
      </c>
    </row>
    <row r="206" spans="1:7" x14ac:dyDescent="0.25">
      <c r="A206">
        <v>182</v>
      </c>
      <c r="B206">
        <v>2.8796323519554901</v>
      </c>
      <c r="C206">
        <v>1.1203676480445199</v>
      </c>
      <c r="D206">
        <v>1.07585932338391</v>
      </c>
      <c r="F206">
        <v>56.8965517241379</v>
      </c>
      <c r="G206">
        <v>3</v>
      </c>
    </row>
    <row r="207" spans="1:7" x14ac:dyDescent="0.25">
      <c r="A207">
        <v>183</v>
      </c>
      <c r="B207">
        <v>2.2382491752022302</v>
      </c>
      <c r="C207">
        <v>-1.23824917520223</v>
      </c>
      <c r="D207">
        <v>-1.1890578259189599</v>
      </c>
      <c r="F207">
        <v>57.210031347962399</v>
      </c>
      <c r="G207">
        <v>3</v>
      </c>
    </row>
    <row r="208" spans="1:7" x14ac:dyDescent="0.25">
      <c r="A208">
        <v>184</v>
      </c>
      <c r="B208">
        <v>2.7340904520025799</v>
      </c>
      <c r="C208">
        <v>1.2659095479974201</v>
      </c>
      <c r="D208">
        <v>1.2156193479442801</v>
      </c>
      <c r="F208">
        <v>57.523510971786799</v>
      </c>
      <c r="G208">
        <v>3</v>
      </c>
    </row>
    <row r="209" spans="1:7" x14ac:dyDescent="0.25">
      <c r="A209">
        <v>185</v>
      </c>
      <c r="B209">
        <v>2.96239147153655</v>
      </c>
      <c r="C209">
        <v>-0.96239147153655002</v>
      </c>
      <c r="D209">
        <v>-0.92415899299210702</v>
      </c>
      <c r="F209">
        <v>57.836990595611297</v>
      </c>
      <c r="G209">
        <v>3</v>
      </c>
    </row>
    <row r="210" spans="1:7" x14ac:dyDescent="0.25">
      <c r="A210">
        <v>186</v>
      </c>
      <c r="B210">
        <v>2.2147056325627901</v>
      </c>
      <c r="C210">
        <v>1.7852943674372099</v>
      </c>
      <c r="D210">
        <v>1.7143708081400999</v>
      </c>
      <c r="F210">
        <v>58.150470219435697</v>
      </c>
      <c r="G210">
        <v>3</v>
      </c>
    </row>
    <row r="211" spans="1:7" x14ac:dyDescent="0.25">
      <c r="A211">
        <v>187</v>
      </c>
      <c r="B211">
        <v>2.7340904520025799</v>
      </c>
      <c r="C211">
        <v>1.2659095479974201</v>
      </c>
      <c r="D211">
        <v>1.2156193479442801</v>
      </c>
      <c r="F211">
        <v>58.463949843260202</v>
      </c>
      <c r="G211">
        <v>3</v>
      </c>
    </row>
    <row r="212" spans="1:7" x14ac:dyDescent="0.25">
      <c r="A212">
        <v>188</v>
      </c>
      <c r="B212">
        <v>2.1707576863025002</v>
      </c>
      <c r="C212">
        <v>-0.17075768630250099</v>
      </c>
      <c r="D212">
        <v>-0.163974075089243</v>
      </c>
      <c r="F212">
        <v>58.777429467084602</v>
      </c>
      <c r="G212">
        <v>3</v>
      </c>
    </row>
    <row r="213" spans="1:7" x14ac:dyDescent="0.25">
      <c r="A213">
        <v>189</v>
      </c>
      <c r="B213">
        <v>2.42374375357358</v>
      </c>
      <c r="C213">
        <v>0.57625624642641604</v>
      </c>
      <c r="D213">
        <v>0.553363582443823</v>
      </c>
      <c r="F213">
        <v>59.090909090909101</v>
      </c>
      <c r="G213">
        <v>3</v>
      </c>
    </row>
    <row r="214" spans="1:7" x14ac:dyDescent="0.25">
      <c r="A214">
        <v>190</v>
      </c>
      <c r="B214">
        <v>2.8396796735370402</v>
      </c>
      <c r="C214">
        <v>-0.83967967353703898</v>
      </c>
      <c r="D214">
        <v>-0.80632210953924699</v>
      </c>
      <c r="F214">
        <v>59.4043887147335</v>
      </c>
      <c r="G214">
        <v>3</v>
      </c>
    </row>
    <row r="215" spans="1:7" x14ac:dyDescent="0.25">
      <c r="A215">
        <v>191</v>
      </c>
      <c r="B215">
        <v>2.1711857507141299</v>
      </c>
      <c r="C215">
        <v>1.8288142492858701</v>
      </c>
      <c r="D215">
        <v>1.7561617958762901</v>
      </c>
      <c r="F215">
        <v>59.717868338557999</v>
      </c>
      <c r="G215">
        <v>3</v>
      </c>
    </row>
    <row r="216" spans="1:7" x14ac:dyDescent="0.25">
      <c r="A216">
        <v>192</v>
      </c>
      <c r="B216">
        <v>2.7654818421885001</v>
      </c>
      <c r="C216">
        <v>-0.76548184218849902</v>
      </c>
      <c r="D216">
        <v>-0.73507190093984498</v>
      </c>
      <c r="F216">
        <v>60.031347962382497</v>
      </c>
      <c r="G216">
        <v>3</v>
      </c>
    </row>
    <row r="217" spans="1:7" x14ac:dyDescent="0.25">
      <c r="A217">
        <v>193</v>
      </c>
      <c r="B217">
        <v>2.1438966444729601</v>
      </c>
      <c r="C217">
        <v>-1.1438966444729599</v>
      </c>
      <c r="D217">
        <v>-1.09845359431059</v>
      </c>
      <c r="F217">
        <v>60.344827586206897</v>
      </c>
      <c r="G217">
        <v>3</v>
      </c>
    </row>
    <row r="218" spans="1:7" x14ac:dyDescent="0.25">
      <c r="A218">
        <v>194</v>
      </c>
      <c r="B218">
        <v>2.5842679079334099</v>
      </c>
      <c r="C218">
        <v>0.41573209206659201</v>
      </c>
      <c r="D218">
        <v>0.39921649653165298</v>
      </c>
      <c r="F218">
        <v>60.658307210031403</v>
      </c>
      <c r="G218">
        <v>3</v>
      </c>
    </row>
    <row r="219" spans="1:7" x14ac:dyDescent="0.25">
      <c r="A219">
        <v>195</v>
      </c>
      <c r="B219">
        <v>2.2567986330393701</v>
      </c>
      <c r="C219">
        <v>1.7432013669606301</v>
      </c>
      <c r="D219">
        <v>1.67395001672313</v>
      </c>
      <c r="F219">
        <v>60.971786833855802</v>
      </c>
      <c r="G219">
        <v>3</v>
      </c>
    </row>
    <row r="220" spans="1:7" x14ac:dyDescent="0.25">
      <c r="A220">
        <v>196</v>
      </c>
      <c r="B220">
        <v>2.6934243328980898</v>
      </c>
      <c r="C220">
        <v>0.30657566710191198</v>
      </c>
      <c r="D220">
        <v>0.29439647811137698</v>
      </c>
      <c r="F220">
        <v>61.285266457680301</v>
      </c>
      <c r="G220">
        <v>3</v>
      </c>
    </row>
    <row r="221" spans="1:7" x14ac:dyDescent="0.25">
      <c r="A221">
        <v>197</v>
      </c>
      <c r="B221">
        <v>3.6187569026967199</v>
      </c>
      <c r="C221">
        <v>0.38124309730328099</v>
      </c>
      <c r="D221">
        <v>0.36609763002831303</v>
      </c>
      <c r="F221">
        <v>61.5987460815047</v>
      </c>
      <c r="G221">
        <v>3</v>
      </c>
    </row>
    <row r="222" spans="1:7" x14ac:dyDescent="0.25">
      <c r="A222">
        <v>198</v>
      </c>
      <c r="B222">
        <v>2.16048414042347</v>
      </c>
      <c r="C222">
        <v>1.83951585957653</v>
      </c>
      <c r="D222">
        <v>1.76643826827043</v>
      </c>
      <c r="F222">
        <v>61.912225705329199</v>
      </c>
      <c r="G222">
        <v>3</v>
      </c>
    </row>
    <row r="223" spans="1:7" x14ac:dyDescent="0.25">
      <c r="A223">
        <v>199</v>
      </c>
      <c r="B223">
        <v>3.19211937244261</v>
      </c>
      <c r="C223">
        <v>-0.19211937244260899</v>
      </c>
      <c r="D223">
        <v>-0.184487135455766</v>
      </c>
      <c r="F223">
        <v>62.225705329153598</v>
      </c>
      <c r="G223">
        <v>3</v>
      </c>
    </row>
    <row r="224" spans="1:7" x14ac:dyDescent="0.25">
      <c r="A224">
        <v>200</v>
      </c>
      <c r="B224">
        <v>2.7340904520025799</v>
      </c>
      <c r="C224">
        <v>1.2659095479974201</v>
      </c>
      <c r="D224">
        <v>1.2156193479442801</v>
      </c>
      <c r="F224">
        <v>62.539184952978097</v>
      </c>
      <c r="G224">
        <v>3</v>
      </c>
    </row>
    <row r="225" spans="1:7" x14ac:dyDescent="0.25">
      <c r="A225">
        <v>201</v>
      </c>
      <c r="B225">
        <v>2.4258840756317199</v>
      </c>
      <c r="C225">
        <v>-0.42588407563171499</v>
      </c>
      <c r="D225">
        <v>-0.40896517696565299</v>
      </c>
      <c r="F225">
        <v>62.852664576802503</v>
      </c>
      <c r="G225">
        <v>3</v>
      </c>
    </row>
    <row r="226" spans="1:7" x14ac:dyDescent="0.25">
      <c r="A226">
        <v>202</v>
      </c>
      <c r="B226">
        <v>2.7654818421885001</v>
      </c>
      <c r="C226">
        <v>-0.76548184218849902</v>
      </c>
      <c r="D226">
        <v>-0.73507190093984498</v>
      </c>
      <c r="F226">
        <v>63.166144200627002</v>
      </c>
      <c r="G226">
        <v>3</v>
      </c>
    </row>
    <row r="227" spans="1:7" x14ac:dyDescent="0.25">
      <c r="A227">
        <v>203</v>
      </c>
      <c r="B227">
        <v>3.6244644281850702</v>
      </c>
      <c r="C227">
        <v>0.37553557181493202</v>
      </c>
      <c r="D227">
        <v>0.36061684475143602</v>
      </c>
      <c r="F227">
        <v>63.479623824451402</v>
      </c>
      <c r="G227">
        <v>3</v>
      </c>
    </row>
    <row r="228" spans="1:7" x14ac:dyDescent="0.25">
      <c r="A228">
        <v>204</v>
      </c>
      <c r="B228">
        <v>2.40448085505041</v>
      </c>
      <c r="C228">
        <v>-0.40448085505040499</v>
      </c>
      <c r="D228">
        <v>-0.38841223217736298</v>
      </c>
      <c r="F228">
        <v>63.7931034482759</v>
      </c>
      <c r="G228">
        <v>3</v>
      </c>
    </row>
    <row r="229" spans="1:7" x14ac:dyDescent="0.25">
      <c r="A229">
        <v>205</v>
      </c>
      <c r="B229">
        <v>2.1727553202234202</v>
      </c>
      <c r="C229">
        <v>-0.17275532022342299</v>
      </c>
      <c r="D229">
        <v>-0.16589234993615001</v>
      </c>
      <c r="F229">
        <v>64.106583072100307</v>
      </c>
      <c r="G229">
        <v>3</v>
      </c>
    </row>
    <row r="230" spans="1:7" x14ac:dyDescent="0.25">
      <c r="A230">
        <v>206</v>
      </c>
      <c r="B230">
        <v>2.14057914528285</v>
      </c>
      <c r="C230">
        <v>-1.14057914528285</v>
      </c>
      <c r="D230">
        <v>-1.0952678878683999</v>
      </c>
      <c r="F230">
        <v>64.420062695924798</v>
      </c>
      <c r="G230">
        <v>3</v>
      </c>
    </row>
    <row r="231" spans="1:7" x14ac:dyDescent="0.25">
      <c r="A231">
        <v>207</v>
      </c>
      <c r="B231">
        <v>2.4344453638642398</v>
      </c>
      <c r="C231">
        <v>-0.43444536386423899</v>
      </c>
      <c r="D231">
        <v>-0.417186354880969</v>
      </c>
      <c r="F231">
        <v>64.733542319749205</v>
      </c>
      <c r="G231">
        <v>3</v>
      </c>
    </row>
    <row r="232" spans="1:7" x14ac:dyDescent="0.25">
      <c r="A232">
        <v>208</v>
      </c>
      <c r="B232">
        <v>3.6187569026967199</v>
      </c>
      <c r="C232">
        <v>0.38124309730328099</v>
      </c>
      <c r="D232">
        <v>0.36609763002831303</v>
      </c>
      <c r="F232">
        <v>65.047021943573696</v>
      </c>
      <c r="G232">
        <v>3</v>
      </c>
    </row>
    <row r="233" spans="1:7" x14ac:dyDescent="0.25">
      <c r="A233">
        <v>209</v>
      </c>
      <c r="B233">
        <v>2.3177978116961002</v>
      </c>
      <c r="C233">
        <v>-0.3177978116961</v>
      </c>
      <c r="D233">
        <v>-0.305172805784792</v>
      </c>
      <c r="F233">
        <v>65.360501567398103</v>
      </c>
      <c r="G233">
        <v>3</v>
      </c>
    </row>
    <row r="234" spans="1:7" x14ac:dyDescent="0.25">
      <c r="A234">
        <v>210</v>
      </c>
      <c r="B234">
        <v>2.1429334995468001</v>
      </c>
      <c r="C234">
        <v>-1.1429334995467999</v>
      </c>
      <c r="D234">
        <v>-1.09752871179511</v>
      </c>
      <c r="F234">
        <v>65.673981191222595</v>
      </c>
      <c r="G234">
        <v>3</v>
      </c>
    </row>
    <row r="235" spans="1:7" x14ac:dyDescent="0.25">
      <c r="A235">
        <v>211</v>
      </c>
      <c r="B235">
        <v>2.5485958736312302</v>
      </c>
      <c r="C235">
        <v>1.45140412636878</v>
      </c>
      <c r="D235">
        <v>1.3937448694427801</v>
      </c>
      <c r="F235">
        <v>65.987460815047001</v>
      </c>
      <c r="G235">
        <v>3</v>
      </c>
    </row>
    <row r="236" spans="1:7" x14ac:dyDescent="0.25">
      <c r="A236">
        <v>212</v>
      </c>
      <c r="B236">
        <v>2.1547766149351202</v>
      </c>
      <c r="C236">
        <v>-1.15477661493512</v>
      </c>
      <c r="D236">
        <v>-1.10890134124464</v>
      </c>
      <c r="F236">
        <v>66.300940438871507</v>
      </c>
      <c r="G236">
        <v>3</v>
      </c>
    </row>
    <row r="237" spans="1:7" x14ac:dyDescent="0.25">
      <c r="A237">
        <v>213</v>
      </c>
      <c r="B237">
        <v>2.3416980746785598</v>
      </c>
      <c r="C237">
        <v>-0.341698074678563</v>
      </c>
      <c r="D237">
        <v>-0.32812359413171499</v>
      </c>
      <c r="F237">
        <v>66.614420062695899</v>
      </c>
      <c r="G237">
        <v>3</v>
      </c>
    </row>
    <row r="238" spans="1:7" x14ac:dyDescent="0.25">
      <c r="A238">
        <v>214</v>
      </c>
      <c r="B238">
        <v>2.96239147153655</v>
      </c>
      <c r="C238">
        <v>-0.96239147153655002</v>
      </c>
      <c r="D238">
        <v>-0.92415899299210702</v>
      </c>
      <c r="F238">
        <v>66.927899686520405</v>
      </c>
      <c r="G238">
        <v>3</v>
      </c>
    </row>
    <row r="239" spans="1:7" x14ac:dyDescent="0.25">
      <c r="A239">
        <v>215</v>
      </c>
      <c r="B239">
        <v>2.1510667233677001</v>
      </c>
      <c r="C239">
        <v>-0.151066723367696</v>
      </c>
      <c r="D239">
        <v>-0.145065365884017</v>
      </c>
      <c r="F239">
        <v>67.241379310344797</v>
      </c>
      <c r="G239">
        <v>3</v>
      </c>
    </row>
    <row r="240" spans="1:7" x14ac:dyDescent="0.25">
      <c r="A240">
        <v>216</v>
      </c>
      <c r="B240">
        <v>2.1476422080746902</v>
      </c>
      <c r="C240">
        <v>-0.147642208074687</v>
      </c>
      <c r="D240">
        <v>-0.14177689471789101</v>
      </c>
      <c r="F240">
        <v>67.554858934169303</v>
      </c>
      <c r="G240">
        <v>3</v>
      </c>
    </row>
    <row r="241" spans="1:7" x14ac:dyDescent="0.25">
      <c r="A241">
        <v>217</v>
      </c>
      <c r="B241">
        <v>2.14025809697414</v>
      </c>
      <c r="C241">
        <v>-1.14025809697414</v>
      </c>
      <c r="D241">
        <v>-1.0949595936965799</v>
      </c>
      <c r="F241">
        <v>67.868338557993695</v>
      </c>
      <c r="G241">
        <v>3</v>
      </c>
    </row>
    <row r="242" spans="1:7" x14ac:dyDescent="0.25">
      <c r="A242">
        <v>218</v>
      </c>
      <c r="B242">
        <v>2.15178016405374</v>
      </c>
      <c r="C242">
        <v>-1.15178016405374</v>
      </c>
      <c r="D242">
        <v>-1.1060239289742699</v>
      </c>
      <c r="F242">
        <v>68.181818181818201</v>
      </c>
      <c r="G242">
        <v>3</v>
      </c>
    </row>
    <row r="243" spans="1:7" x14ac:dyDescent="0.25">
      <c r="A243">
        <v>219</v>
      </c>
      <c r="B243">
        <v>2.3894986006434902</v>
      </c>
      <c r="C243">
        <v>-0.38949860064348801</v>
      </c>
      <c r="D243">
        <v>-0.37402517082556103</v>
      </c>
      <c r="F243">
        <v>68.495297805642707</v>
      </c>
      <c r="G243">
        <v>3</v>
      </c>
    </row>
    <row r="244" spans="1:7" x14ac:dyDescent="0.25">
      <c r="A244">
        <v>220</v>
      </c>
      <c r="B244">
        <v>2.3894986006434902</v>
      </c>
      <c r="C244">
        <v>-0.38949860064348801</v>
      </c>
      <c r="D244">
        <v>-0.37402517082556103</v>
      </c>
      <c r="F244">
        <v>68.808777429467099</v>
      </c>
      <c r="G244">
        <v>3</v>
      </c>
    </row>
    <row r="245" spans="1:7" x14ac:dyDescent="0.25">
      <c r="A245">
        <v>221</v>
      </c>
      <c r="B245">
        <v>2.7169678755375299</v>
      </c>
      <c r="C245">
        <v>1.2830321244624701</v>
      </c>
      <c r="D245">
        <v>1.23206170377491</v>
      </c>
      <c r="F245">
        <v>69.122257053291605</v>
      </c>
      <c r="G245">
        <v>3</v>
      </c>
    </row>
    <row r="246" spans="1:7" x14ac:dyDescent="0.25">
      <c r="A246">
        <v>222</v>
      </c>
      <c r="B246">
        <v>2.5047192714395399</v>
      </c>
      <c r="C246">
        <v>-1.5047192714395401</v>
      </c>
      <c r="D246">
        <v>-1.44494198853317</v>
      </c>
      <c r="F246">
        <v>69.435736677115997</v>
      </c>
      <c r="G246">
        <v>3</v>
      </c>
    </row>
    <row r="247" spans="1:7" x14ac:dyDescent="0.25">
      <c r="A247">
        <v>223</v>
      </c>
      <c r="B247">
        <v>2.1540631742490799</v>
      </c>
      <c r="C247">
        <v>0.845936825750921</v>
      </c>
      <c r="D247">
        <v>0.81233068677626996</v>
      </c>
      <c r="F247">
        <v>69.749216300940503</v>
      </c>
      <c r="G247">
        <v>3</v>
      </c>
    </row>
    <row r="248" spans="1:7" x14ac:dyDescent="0.25">
      <c r="A248">
        <v>224</v>
      </c>
      <c r="B248">
        <v>2.50721631384069</v>
      </c>
      <c r="C248">
        <v>-0.50721631384069299</v>
      </c>
      <c r="D248">
        <v>-0.48706636716115298</v>
      </c>
      <c r="F248">
        <v>70.062695924764895</v>
      </c>
      <c r="G248">
        <v>3</v>
      </c>
    </row>
    <row r="249" spans="1:7" x14ac:dyDescent="0.25">
      <c r="A249">
        <v>225</v>
      </c>
      <c r="B249">
        <v>2.1476422080746902</v>
      </c>
      <c r="C249">
        <v>-0.147642208074687</v>
      </c>
      <c r="D249">
        <v>-0.14177689471789101</v>
      </c>
      <c r="F249">
        <v>70.376175548589401</v>
      </c>
      <c r="G249">
        <v>3</v>
      </c>
    </row>
    <row r="250" spans="1:7" x14ac:dyDescent="0.25">
      <c r="A250">
        <v>226</v>
      </c>
      <c r="B250">
        <v>2.1531000293229199</v>
      </c>
      <c r="C250">
        <v>0.84689997067708001</v>
      </c>
      <c r="D250">
        <v>0.81325556929174303</v>
      </c>
      <c r="F250">
        <v>70.689655172413794</v>
      </c>
      <c r="G250">
        <v>3</v>
      </c>
    </row>
    <row r="251" spans="1:7" x14ac:dyDescent="0.25">
      <c r="A251">
        <v>227</v>
      </c>
      <c r="B251">
        <v>2.7340904520025799</v>
      </c>
      <c r="C251">
        <v>1.2659095479974201</v>
      </c>
      <c r="D251">
        <v>1.2156193479442801</v>
      </c>
      <c r="F251">
        <v>71.003134796238299</v>
      </c>
      <c r="G251">
        <v>3</v>
      </c>
    </row>
    <row r="252" spans="1:7" x14ac:dyDescent="0.25">
      <c r="A252">
        <v>228</v>
      </c>
      <c r="B252">
        <v>2.1511737394705999</v>
      </c>
      <c r="C252">
        <v>0.84882626052939802</v>
      </c>
      <c r="D252">
        <v>0.81510533432268895</v>
      </c>
      <c r="F252">
        <v>71.316614420062706</v>
      </c>
      <c r="G252">
        <v>3</v>
      </c>
    </row>
    <row r="253" spans="1:7" x14ac:dyDescent="0.25">
      <c r="A253">
        <v>229</v>
      </c>
      <c r="B253">
        <v>3.7015160222777799</v>
      </c>
      <c r="C253">
        <v>0.29848397772221602</v>
      </c>
      <c r="D253">
        <v>0.286626243513595</v>
      </c>
      <c r="F253">
        <v>71.630094043887198</v>
      </c>
      <c r="G253">
        <v>3</v>
      </c>
    </row>
    <row r="254" spans="1:7" x14ac:dyDescent="0.25">
      <c r="A254">
        <v>230</v>
      </c>
      <c r="B254">
        <v>2.4451469741548899</v>
      </c>
      <c r="C254">
        <v>0.55485302584510598</v>
      </c>
      <c r="D254">
        <v>0.53281063765553405</v>
      </c>
      <c r="F254">
        <v>71.943573667711604</v>
      </c>
      <c r="G254">
        <v>3</v>
      </c>
    </row>
    <row r="255" spans="1:7" x14ac:dyDescent="0.25">
      <c r="A255">
        <v>231</v>
      </c>
      <c r="B255">
        <v>2.2032905815860899</v>
      </c>
      <c r="C255">
        <v>0.79670941841390797</v>
      </c>
      <c r="D255">
        <v>0.76505891376320401</v>
      </c>
      <c r="F255">
        <v>72.257053291536096</v>
      </c>
      <c r="G255">
        <v>3</v>
      </c>
    </row>
    <row r="256" spans="1:7" x14ac:dyDescent="0.25">
      <c r="A256">
        <v>232</v>
      </c>
      <c r="B256">
        <v>2.3894986006434902</v>
      </c>
      <c r="C256">
        <v>-0.38949860064348801</v>
      </c>
      <c r="D256">
        <v>-0.37402517082556103</v>
      </c>
      <c r="F256">
        <v>72.570532915360502</v>
      </c>
      <c r="G256">
        <v>3</v>
      </c>
    </row>
    <row r="257" spans="1:7" x14ac:dyDescent="0.25">
      <c r="A257">
        <v>233</v>
      </c>
      <c r="B257">
        <v>2.14250543513517</v>
      </c>
      <c r="C257">
        <v>-1.14250543513517</v>
      </c>
      <c r="D257">
        <v>-1.09711765289935</v>
      </c>
      <c r="F257">
        <v>72.884012539184994</v>
      </c>
      <c r="G257">
        <v>3</v>
      </c>
    </row>
    <row r="258" spans="1:7" x14ac:dyDescent="0.25">
      <c r="A258">
        <v>234</v>
      </c>
      <c r="B258">
        <v>2.4501410589571999</v>
      </c>
      <c r="C258">
        <v>-1.4501410589571999</v>
      </c>
      <c r="D258">
        <v>-1.39253197932303</v>
      </c>
      <c r="F258">
        <v>73.1974921630094</v>
      </c>
      <c r="G258">
        <v>3</v>
      </c>
    </row>
    <row r="259" spans="1:7" x14ac:dyDescent="0.25">
      <c r="A259">
        <v>235</v>
      </c>
      <c r="B259">
        <v>2.4601292285618102</v>
      </c>
      <c r="C259">
        <v>-0.46012922856181099</v>
      </c>
      <c r="D259">
        <v>-0.44184988862691599</v>
      </c>
      <c r="F259">
        <v>73.510971786833906</v>
      </c>
      <c r="G259">
        <v>3</v>
      </c>
    </row>
    <row r="260" spans="1:7" x14ac:dyDescent="0.25">
      <c r="A260">
        <v>236</v>
      </c>
      <c r="B260">
        <v>2.3313531847309301</v>
      </c>
      <c r="C260">
        <v>-1.3313531847309299</v>
      </c>
      <c r="D260">
        <v>-1.2784631357480201</v>
      </c>
      <c r="F260">
        <v>73.824451410658298</v>
      </c>
      <c r="G260">
        <v>3</v>
      </c>
    </row>
    <row r="261" spans="1:7" x14ac:dyDescent="0.25">
      <c r="A261">
        <v>237</v>
      </c>
      <c r="B261">
        <v>2.16048414042347</v>
      </c>
      <c r="C261">
        <v>1.83951585957653</v>
      </c>
      <c r="D261">
        <v>1.76643826827043</v>
      </c>
      <c r="F261">
        <v>74.137931034482804</v>
      </c>
      <c r="G261">
        <v>3</v>
      </c>
    </row>
    <row r="262" spans="1:7" x14ac:dyDescent="0.25">
      <c r="A262">
        <v>238</v>
      </c>
      <c r="B262">
        <v>2.1551333352781499</v>
      </c>
      <c r="C262">
        <v>-0.15513333527814499</v>
      </c>
      <c r="D262">
        <v>-0.14897042539379199</v>
      </c>
      <c r="F262">
        <v>74.451410658307196</v>
      </c>
      <c r="G262">
        <v>3</v>
      </c>
    </row>
    <row r="263" spans="1:7" x14ac:dyDescent="0.25">
      <c r="A263">
        <v>239</v>
      </c>
      <c r="B263">
        <v>2.1669051065978699</v>
      </c>
      <c r="C263">
        <v>0.83309489340213505</v>
      </c>
      <c r="D263">
        <v>0.79999891990329597</v>
      </c>
      <c r="F263">
        <v>74.764890282131702</v>
      </c>
      <c r="G263">
        <v>3</v>
      </c>
    </row>
    <row r="264" spans="1:7" x14ac:dyDescent="0.25">
      <c r="A264">
        <v>240</v>
      </c>
      <c r="B264">
        <v>2.1540631742490799</v>
      </c>
      <c r="C264">
        <v>0.845936825750921</v>
      </c>
      <c r="D264">
        <v>0.81233068677626996</v>
      </c>
      <c r="F264">
        <v>75.078369905956094</v>
      </c>
      <c r="G264">
        <v>3</v>
      </c>
    </row>
    <row r="265" spans="1:7" x14ac:dyDescent="0.25">
      <c r="A265">
        <v>241</v>
      </c>
      <c r="B265">
        <v>2.1652998650542701</v>
      </c>
      <c r="C265">
        <v>0.83470013494573303</v>
      </c>
      <c r="D265">
        <v>0.80154039076241801</v>
      </c>
      <c r="F265">
        <v>75.3918495297806</v>
      </c>
      <c r="G265">
        <v>3</v>
      </c>
    </row>
    <row r="266" spans="1:7" x14ac:dyDescent="0.25">
      <c r="A266">
        <v>242</v>
      </c>
      <c r="B266">
        <v>2.16048414042347</v>
      </c>
      <c r="C266">
        <v>0.83951585957652797</v>
      </c>
      <c r="D266">
        <v>0.80616480333978302</v>
      </c>
      <c r="F266">
        <v>75.705329153605007</v>
      </c>
      <c r="G266">
        <v>3</v>
      </c>
    </row>
    <row r="267" spans="1:7" x14ac:dyDescent="0.25">
      <c r="A267">
        <v>243</v>
      </c>
      <c r="B267">
        <v>2.5264792123638702</v>
      </c>
      <c r="C267">
        <v>-1.52647921236387</v>
      </c>
      <c r="D267">
        <v>-1.4658374824012601</v>
      </c>
      <c r="F267">
        <v>76.018808777429498</v>
      </c>
      <c r="G267">
        <v>3</v>
      </c>
    </row>
    <row r="268" spans="1:7" x14ac:dyDescent="0.25">
      <c r="A268">
        <v>244</v>
      </c>
      <c r="B268">
        <v>2.56179452632303</v>
      </c>
      <c r="C268">
        <v>0.43820547367696699</v>
      </c>
      <c r="D268">
        <v>0.42079708855935699</v>
      </c>
      <c r="F268">
        <v>76.332288401253905</v>
      </c>
      <c r="G268">
        <v>4</v>
      </c>
    </row>
    <row r="269" spans="1:7" x14ac:dyDescent="0.25">
      <c r="A269">
        <v>245</v>
      </c>
      <c r="B269">
        <v>2.23307673022842</v>
      </c>
      <c r="C269">
        <v>-1.23307673022842</v>
      </c>
      <c r="D269">
        <v>-1.18409086426179</v>
      </c>
      <c r="F269">
        <v>76.645768025078397</v>
      </c>
      <c r="G269">
        <v>4</v>
      </c>
    </row>
    <row r="270" spans="1:7" x14ac:dyDescent="0.25">
      <c r="A270">
        <v>246</v>
      </c>
      <c r="B270">
        <v>2.6441969255610802</v>
      </c>
      <c r="C270">
        <v>1.35580307443892</v>
      </c>
      <c r="D270">
        <v>1.3019417160550899</v>
      </c>
      <c r="F270">
        <v>76.959247648902803</v>
      </c>
      <c r="G270">
        <v>4</v>
      </c>
    </row>
    <row r="271" spans="1:7" x14ac:dyDescent="0.25">
      <c r="A271">
        <v>247</v>
      </c>
      <c r="B271">
        <v>2.1412212419002898</v>
      </c>
      <c r="C271">
        <v>-1.1412212419002901</v>
      </c>
      <c r="D271">
        <v>-1.0958844762120501</v>
      </c>
      <c r="F271">
        <v>77.272727272727295</v>
      </c>
      <c r="G271">
        <v>4</v>
      </c>
    </row>
    <row r="272" spans="1:7" x14ac:dyDescent="0.25">
      <c r="A272">
        <v>248</v>
      </c>
      <c r="B272">
        <v>2.4344453638642398</v>
      </c>
      <c r="C272">
        <v>-0.43444536386423899</v>
      </c>
      <c r="D272">
        <v>-0.417186354880969</v>
      </c>
      <c r="F272">
        <v>77.586206896551701</v>
      </c>
      <c r="G272">
        <v>4</v>
      </c>
    </row>
    <row r="273" spans="1:7" x14ac:dyDescent="0.25">
      <c r="A273">
        <v>249</v>
      </c>
      <c r="B273">
        <v>2.3060260403763801</v>
      </c>
      <c r="C273">
        <v>-1.3060260403763799</v>
      </c>
      <c r="D273">
        <v>-1.25414215108188</v>
      </c>
      <c r="F273">
        <v>77.899686520376207</v>
      </c>
      <c r="G273">
        <v>4</v>
      </c>
    </row>
    <row r="274" spans="1:7" x14ac:dyDescent="0.25">
      <c r="A274">
        <v>250</v>
      </c>
      <c r="B274">
        <v>2.1620893819670699</v>
      </c>
      <c r="C274">
        <v>-1.1620893819670699</v>
      </c>
      <c r="D274">
        <v>-1.1159235973806301</v>
      </c>
      <c r="F274">
        <v>78.213166144200599</v>
      </c>
      <c r="G274">
        <v>4</v>
      </c>
    </row>
    <row r="275" spans="1:7" x14ac:dyDescent="0.25">
      <c r="A275">
        <v>251</v>
      </c>
      <c r="B275">
        <v>2.2032905815860899</v>
      </c>
      <c r="C275">
        <v>0.79670941841390797</v>
      </c>
      <c r="D275">
        <v>0.76505891376320401</v>
      </c>
      <c r="F275">
        <v>78.526645768025105</v>
      </c>
      <c r="G275">
        <v>4</v>
      </c>
    </row>
    <row r="276" spans="1:7" x14ac:dyDescent="0.25">
      <c r="A276">
        <v>252</v>
      </c>
      <c r="B276">
        <v>2.1579157539537199</v>
      </c>
      <c r="C276">
        <v>1.8420842460462901</v>
      </c>
      <c r="D276">
        <v>1.7689046216450299</v>
      </c>
      <c r="F276">
        <v>78.840125391849497</v>
      </c>
      <c r="G276">
        <v>4</v>
      </c>
    </row>
    <row r="277" spans="1:7" x14ac:dyDescent="0.25">
      <c r="A277">
        <v>253</v>
      </c>
      <c r="B277">
        <v>2.1542058623862901</v>
      </c>
      <c r="C277">
        <v>-1.1542058623862901</v>
      </c>
      <c r="D277">
        <v>-1.1083532627169499</v>
      </c>
      <c r="F277">
        <v>79.153605015674003</v>
      </c>
      <c r="G277">
        <v>4</v>
      </c>
    </row>
    <row r="278" spans="1:7" x14ac:dyDescent="0.25">
      <c r="A278">
        <v>254</v>
      </c>
      <c r="B278">
        <v>2.1531000293229199</v>
      </c>
      <c r="C278">
        <v>0.84689997067708001</v>
      </c>
      <c r="D278">
        <v>0.81325556929174303</v>
      </c>
      <c r="F278">
        <v>79.467084639498395</v>
      </c>
      <c r="G278">
        <v>4</v>
      </c>
    </row>
    <row r="279" spans="1:7" x14ac:dyDescent="0.25">
      <c r="A279">
        <v>255</v>
      </c>
      <c r="B279">
        <v>2.40448085505041</v>
      </c>
      <c r="C279">
        <v>-0.40448085505040499</v>
      </c>
      <c r="D279">
        <v>-0.38841223217736298</v>
      </c>
      <c r="F279">
        <v>79.780564263322901</v>
      </c>
      <c r="G279">
        <v>4</v>
      </c>
    </row>
    <row r="280" spans="1:7" x14ac:dyDescent="0.25">
      <c r="A280">
        <v>256</v>
      </c>
      <c r="B280">
        <v>2.2214833190802099</v>
      </c>
      <c r="C280">
        <v>-1.2214833190802099</v>
      </c>
      <c r="D280">
        <v>-1.1729580191681399</v>
      </c>
      <c r="F280">
        <v>80.094043887147393</v>
      </c>
      <c r="G280">
        <v>4</v>
      </c>
    </row>
    <row r="281" spans="1:7" x14ac:dyDescent="0.25">
      <c r="A281">
        <v>257</v>
      </c>
      <c r="B281">
        <v>2.4815324491431201</v>
      </c>
      <c r="C281">
        <v>1.5184675508568799</v>
      </c>
      <c r="D281">
        <v>1.4581440964460901</v>
      </c>
      <c r="F281">
        <v>80.407523510971799</v>
      </c>
      <c r="G281">
        <v>4</v>
      </c>
    </row>
    <row r="282" spans="1:7" x14ac:dyDescent="0.25">
      <c r="A282">
        <v>258</v>
      </c>
      <c r="B282">
        <v>2.3804022318964302</v>
      </c>
      <c r="C282">
        <v>0.61959776810356904</v>
      </c>
      <c r="D282">
        <v>0.59498329564010899</v>
      </c>
      <c r="F282">
        <v>80.721003134796305</v>
      </c>
      <c r="G282">
        <v>4</v>
      </c>
    </row>
    <row r="283" spans="1:7" x14ac:dyDescent="0.25">
      <c r="A283">
        <v>259</v>
      </c>
      <c r="B283">
        <v>3.24776774595402</v>
      </c>
      <c r="C283">
        <v>-0.24776774595401499</v>
      </c>
      <c r="D283">
        <v>-0.23792479190531801</v>
      </c>
      <c r="F283">
        <v>81.034482758620697</v>
      </c>
      <c r="G283">
        <v>4</v>
      </c>
    </row>
    <row r="284" spans="1:7" x14ac:dyDescent="0.25">
      <c r="A284">
        <v>260</v>
      </c>
      <c r="B284">
        <v>2.6934243328980898</v>
      </c>
      <c r="C284">
        <v>0.30657566710191198</v>
      </c>
      <c r="D284">
        <v>0.29439647811137698</v>
      </c>
      <c r="F284">
        <v>81.347962382445203</v>
      </c>
      <c r="G284">
        <v>4</v>
      </c>
    </row>
    <row r="285" spans="1:7" x14ac:dyDescent="0.25">
      <c r="A285">
        <v>261</v>
      </c>
      <c r="B285">
        <v>2.1476422080746902</v>
      </c>
      <c r="C285">
        <v>-0.147642208074687</v>
      </c>
      <c r="D285">
        <v>-0.14177689471789101</v>
      </c>
      <c r="F285">
        <v>81.661442006269596</v>
      </c>
      <c r="G285">
        <v>4</v>
      </c>
    </row>
    <row r="286" spans="1:7" x14ac:dyDescent="0.25">
      <c r="A286">
        <v>262</v>
      </c>
      <c r="B286">
        <v>2.5279060937359601</v>
      </c>
      <c r="C286">
        <v>1.4720939062640399</v>
      </c>
      <c r="D286">
        <v>1.41361271607146</v>
      </c>
      <c r="F286">
        <v>81.974921630094101</v>
      </c>
      <c r="G286">
        <v>4</v>
      </c>
    </row>
    <row r="287" spans="1:7" x14ac:dyDescent="0.25">
      <c r="A287">
        <v>263</v>
      </c>
      <c r="B287">
        <v>2.2567986330393701</v>
      </c>
      <c r="C287">
        <v>1.7432013669606301</v>
      </c>
      <c r="D287">
        <v>1.67395001672313</v>
      </c>
      <c r="F287">
        <v>82.288401253918494</v>
      </c>
      <c r="G287">
        <v>4</v>
      </c>
    </row>
    <row r="288" spans="1:7" x14ac:dyDescent="0.25">
      <c r="A288">
        <v>264</v>
      </c>
      <c r="B288">
        <v>2.4601292285618102</v>
      </c>
      <c r="C288">
        <v>-0.46012922856181099</v>
      </c>
      <c r="D288">
        <v>-0.44184988862691599</v>
      </c>
      <c r="F288">
        <v>82.601880877743</v>
      </c>
      <c r="G288">
        <v>4</v>
      </c>
    </row>
    <row r="289" spans="1:7" x14ac:dyDescent="0.25">
      <c r="A289">
        <v>265</v>
      </c>
      <c r="B289">
        <v>2.2027198290372598</v>
      </c>
      <c r="C289">
        <v>1.79728017096274</v>
      </c>
      <c r="D289">
        <v>1.72588045722154</v>
      </c>
      <c r="F289">
        <v>82.915360501567406</v>
      </c>
      <c r="G289">
        <v>4</v>
      </c>
    </row>
    <row r="290" spans="1:7" x14ac:dyDescent="0.25">
      <c r="A290">
        <v>266</v>
      </c>
      <c r="B290">
        <v>3.6244644281850702</v>
      </c>
      <c r="C290">
        <v>0.37553557181493202</v>
      </c>
      <c r="D290">
        <v>0.36061684475143602</v>
      </c>
      <c r="F290">
        <v>83.228840125391898</v>
      </c>
      <c r="G290">
        <v>4</v>
      </c>
    </row>
    <row r="291" spans="1:7" x14ac:dyDescent="0.25">
      <c r="A291">
        <v>267</v>
      </c>
      <c r="B291">
        <v>2.2262990437110002</v>
      </c>
      <c r="C291">
        <v>0.77370095628900004</v>
      </c>
      <c r="D291">
        <v>0.74296449811579302</v>
      </c>
      <c r="F291">
        <v>83.542319749216304</v>
      </c>
      <c r="G291">
        <v>4</v>
      </c>
    </row>
    <row r="292" spans="1:7" x14ac:dyDescent="0.25">
      <c r="A292">
        <v>268</v>
      </c>
      <c r="B292">
        <v>2.2067150968790998</v>
      </c>
      <c r="C292">
        <v>1.7932849031208999</v>
      </c>
      <c r="D292">
        <v>1.7220439075277301</v>
      </c>
      <c r="F292">
        <v>83.855799373040796</v>
      </c>
      <c r="G292">
        <v>4</v>
      </c>
    </row>
    <row r="293" spans="1:7" x14ac:dyDescent="0.25">
      <c r="A293">
        <v>269</v>
      </c>
      <c r="B293">
        <v>2.1527789810142002</v>
      </c>
      <c r="C293">
        <v>-1.1527789810142</v>
      </c>
      <c r="D293">
        <v>-1.10698306639773</v>
      </c>
      <c r="F293">
        <v>84.169278996865202</v>
      </c>
      <c r="G293">
        <v>4</v>
      </c>
    </row>
    <row r="294" spans="1:7" x14ac:dyDescent="0.25">
      <c r="A294">
        <v>270</v>
      </c>
      <c r="B294">
        <v>2.14550188601656</v>
      </c>
      <c r="C294">
        <v>-1.14550188601656</v>
      </c>
      <c r="D294">
        <v>-1.0999950651697099</v>
      </c>
      <c r="F294">
        <v>84.482758620689694</v>
      </c>
      <c r="G294">
        <v>4</v>
      </c>
    </row>
    <row r="295" spans="1:7" x14ac:dyDescent="0.25">
      <c r="A295">
        <v>271</v>
      </c>
      <c r="B295">
        <v>2.3060260403763801</v>
      </c>
      <c r="C295">
        <v>-1.3060260403763799</v>
      </c>
      <c r="D295">
        <v>-1.25414215108188</v>
      </c>
      <c r="F295">
        <v>84.7962382445141</v>
      </c>
      <c r="G295">
        <v>4</v>
      </c>
    </row>
    <row r="296" spans="1:7" x14ac:dyDescent="0.25">
      <c r="A296">
        <v>272</v>
      </c>
      <c r="B296">
        <v>2.96239147153655</v>
      </c>
      <c r="C296">
        <v>-0.96239147153655002</v>
      </c>
      <c r="D296">
        <v>-0.92415899299210702</v>
      </c>
      <c r="F296">
        <v>85.109717868338606</v>
      </c>
      <c r="G296">
        <v>4</v>
      </c>
    </row>
    <row r="297" spans="1:7" x14ac:dyDescent="0.25">
      <c r="A297">
        <v>273</v>
      </c>
      <c r="B297">
        <v>2.1412212419002898</v>
      </c>
      <c r="C297">
        <v>-1.1412212419002901</v>
      </c>
      <c r="D297">
        <v>-1.0958844762120501</v>
      </c>
      <c r="F297">
        <v>85.423197492162998</v>
      </c>
      <c r="G297">
        <v>4</v>
      </c>
    </row>
    <row r="298" spans="1:7" x14ac:dyDescent="0.25">
      <c r="A298">
        <v>274</v>
      </c>
      <c r="B298">
        <v>2.7654818421885001</v>
      </c>
      <c r="C298">
        <v>-0.76548184218849902</v>
      </c>
      <c r="D298">
        <v>-0.73507190093984498</v>
      </c>
      <c r="F298">
        <v>85.736677115987504</v>
      </c>
      <c r="G298">
        <v>4</v>
      </c>
    </row>
    <row r="299" spans="1:7" x14ac:dyDescent="0.25">
      <c r="A299">
        <v>275</v>
      </c>
      <c r="B299">
        <v>2.1711857507141299</v>
      </c>
      <c r="C299">
        <v>1.8288142492858701</v>
      </c>
      <c r="D299">
        <v>1.7561617958762901</v>
      </c>
      <c r="F299">
        <v>86.050156739811897</v>
      </c>
      <c r="G299">
        <v>4</v>
      </c>
    </row>
    <row r="300" spans="1:7" x14ac:dyDescent="0.25">
      <c r="A300">
        <v>276</v>
      </c>
      <c r="B300">
        <v>2.5393211447126598</v>
      </c>
      <c r="C300">
        <v>0.46067885528734198</v>
      </c>
      <c r="D300">
        <v>0.44237768058706101</v>
      </c>
      <c r="F300">
        <v>86.363636363636402</v>
      </c>
      <c r="G300">
        <v>4</v>
      </c>
    </row>
    <row r="301" spans="1:7" x14ac:dyDescent="0.25">
      <c r="A301">
        <v>277</v>
      </c>
      <c r="B301">
        <v>2.17475295414435</v>
      </c>
      <c r="C301">
        <v>-0.174752954144346</v>
      </c>
      <c r="D301">
        <v>-0.167810624783057</v>
      </c>
      <c r="F301">
        <v>86.677115987460795</v>
      </c>
      <c r="G301">
        <v>4</v>
      </c>
    </row>
    <row r="302" spans="1:7" x14ac:dyDescent="0.25">
      <c r="A302">
        <v>278</v>
      </c>
      <c r="B302">
        <v>2.7512130284676299</v>
      </c>
      <c r="C302">
        <v>1.2487869715323801</v>
      </c>
      <c r="D302">
        <v>1.1991769921136399</v>
      </c>
      <c r="F302">
        <v>86.9905956112853</v>
      </c>
      <c r="G302">
        <v>4</v>
      </c>
    </row>
    <row r="303" spans="1:7" x14ac:dyDescent="0.25">
      <c r="A303">
        <v>279</v>
      </c>
      <c r="B303">
        <v>2.1669051065978699</v>
      </c>
      <c r="C303">
        <v>-1.1669051065978699</v>
      </c>
      <c r="D303">
        <v>-1.1205480099580001</v>
      </c>
      <c r="F303">
        <v>87.304075235109707</v>
      </c>
      <c r="G303">
        <v>4</v>
      </c>
    </row>
    <row r="304" spans="1:7" x14ac:dyDescent="0.25">
      <c r="A304">
        <v>280</v>
      </c>
      <c r="B304">
        <v>2.4772518050268602</v>
      </c>
      <c r="C304">
        <v>-0.47725180502685899</v>
      </c>
      <c r="D304">
        <v>-0.45829224445754702</v>
      </c>
      <c r="F304">
        <v>87.617554858934199</v>
      </c>
      <c r="G304">
        <v>4</v>
      </c>
    </row>
    <row r="305" spans="1:7" x14ac:dyDescent="0.25">
      <c r="A305">
        <v>281</v>
      </c>
      <c r="B305">
        <v>2.4344453638642398</v>
      </c>
      <c r="C305">
        <v>-0.43444536386423899</v>
      </c>
      <c r="D305">
        <v>-0.417186354880969</v>
      </c>
      <c r="F305">
        <v>87.931034482758605</v>
      </c>
      <c r="G305">
        <v>4</v>
      </c>
    </row>
    <row r="306" spans="1:7" x14ac:dyDescent="0.25">
      <c r="A306">
        <v>282</v>
      </c>
      <c r="B306">
        <v>2.5714259755846198</v>
      </c>
      <c r="C306">
        <v>0.42857402441537801</v>
      </c>
      <c r="D306">
        <v>0.41154826340462702</v>
      </c>
      <c r="F306">
        <v>88.244514106583097</v>
      </c>
      <c r="G306">
        <v>4</v>
      </c>
    </row>
    <row r="307" spans="1:7" x14ac:dyDescent="0.25">
      <c r="A307">
        <v>283</v>
      </c>
      <c r="B307">
        <v>2.1687600523815802</v>
      </c>
      <c r="C307">
        <v>-0.16876005238157901</v>
      </c>
      <c r="D307">
        <v>-0.16205580024233601</v>
      </c>
      <c r="F307">
        <v>88.557993730407503</v>
      </c>
      <c r="G307">
        <v>4</v>
      </c>
    </row>
    <row r="308" spans="1:7" x14ac:dyDescent="0.25">
      <c r="A308">
        <v>284</v>
      </c>
      <c r="B308">
        <v>3.2520483900702799</v>
      </c>
      <c r="C308">
        <v>-0.25204839007027702</v>
      </c>
      <c r="D308">
        <v>-0.24203538086297599</v>
      </c>
      <c r="F308">
        <v>88.871473354231995</v>
      </c>
      <c r="G308">
        <v>4</v>
      </c>
    </row>
    <row r="309" spans="1:7" x14ac:dyDescent="0.25">
      <c r="A309">
        <v>285</v>
      </c>
      <c r="B309">
        <v>2.2107103647209501</v>
      </c>
      <c r="C309">
        <v>1.7892896352790499</v>
      </c>
      <c r="D309">
        <v>1.7182073578339101</v>
      </c>
      <c r="F309">
        <v>89.184952978056401</v>
      </c>
      <c r="G309">
        <v>4</v>
      </c>
    </row>
    <row r="310" spans="1:7" x14ac:dyDescent="0.25">
      <c r="A310">
        <v>286</v>
      </c>
      <c r="B310">
        <v>2.1754663948303898</v>
      </c>
      <c r="C310">
        <v>1.8245336051696099</v>
      </c>
      <c r="D310">
        <v>1.75205120691863</v>
      </c>
      <c r="F310">
        <v>89.498432601880907</v>
      </c>
      <c r="G310">
        <v>4</v>
      </c>
    </row>
    <row r="311" spans="1:7" x14ac:dyDescent="0.25">
      <c r="A311">
        <v>287</v>
      </c>
      <c r="B311">
        <v>2.1476422080746902</v>
      </c>
      <c r="C311">
        <v>-0.147642208074687</v>
      </c>
      <c r="D311">
        <v>-0.14177689471789101</v>
      </c>
      <c r="F311">
        <v>89.811912225705299</v>
      </c>
      <c r="G311">
        <v>4</v>
      </c>
    </row>
    <row r="312" spans="1:7" x14ac:dyDescent="0.25">
      <c r="A312">
        <v>288</v>
      </c>
      <c r="B312">
        <v>2.14550188601656</v>
      </c>
      <c r="C312">
        <v>-1.14550188601656</v>
      </c>
      <c r="D312">
        <v>-1.0999950651697099</v>
      </c>
      <c r="F312">
        <v>90.125391849529805</v>
      </c>
      <c r="G312">
        <v>4</v>
      </c>
    </row>
    <row r="313" spans="1:7" x14ac:dyDescent="0.25">
      <c r="A313">
        <v>289</v>
      </c>
      <c r="B313">
        <v>2.2261206835394902</v>
      </c>
      <c r="C313">
        <v>1.77387931646051</v>
      </c>
      <c r="D313">
        <v>1.7034092375863401</v>
      </c>
      <c r="F313">
        <v>90.438871473354197</v>
      </c>
      <c r="G313">
        <v>4</v>
      </c>
    </row>
    <row r="314" spans="1:7" x14ac:dyDescent="0.25">
      <c r="A314">
        <v>290</v>
      </c>
      <c r="B314">
        <v>2.1591999471885899</v>
      </c>
      <c r="C314">
        <v>1.8408000528114099</v>
      </c>
      <c r="D314">
        <v>1.76767144495773</v>
      </c>
      <c r="F314">
        <v>90.752351097178703</v>
      </c>
      <c r="G314">
        <v>4</v>
      </c>
    </row>
    <row r="315" spans="1:7" x14ac:dyDescent="0.25">
      <c r="A315">
        <v>291</v>
      </c>
      <c r="B315">
        <v>2.14550188601656</v>
      </c>
      <c r="C315">
        <v>-1.14550188601656</v>
      </c>
      <c r="D315">
        <v>-1.0999950651697099</v>
      </c>
      <c r="F315">
        <v>91.065830721003195</v>
      </c>
      <c r="G315">
        <v>4</v>
      </c>
    </row>
    <row r="316" spans="1:7" x14ac:dyDescent="0.25">
      <c r="A316">
        <v>292</v>
      </c>
      <c r="B316">
        <v>2.2503776668649702</v>
      </c>
      <c r="C316">
        <v>1.74962233313503</v>
      </c>
      <c r="D316">
        <v>1.68011590015962</v>
      </c>
      <c r="F316">
        <v>91.379310344827601</v>
      </c>
      <c r="G316">
        <v>4</v>
      </c>
    </row>
    <row r="317" spans="1:7" x14ac:dyDescent="0.25">
      <c r="A317">
        <v>293</v>
      </c>
      <c r="B317">
        <v>2.2166675944494099</v>
      </c>
      <c r="C317">
        <v>-1.2166675944494101</v>
      </c>
      <c r="D317">
        <v>-1.1683336065907699</v>
      </c>
      <c r="F317">
        <v>91.692789968652093</v>
      </c>
      <c r="G317">
        <v>4</v>
      </c>
    </row>
    <row r="318" spans="1:7" x14ac:dyDescent="0.25">
      <c r="A318">
        <v>294</v>
      </c>
      <c r="B318">
        <v>2.1566315607188402</v>
      </c>
      <c r="C318">
        <v>1.84336843928116</v>
      </c>
      <c r="D318">
        <v>1.7701377983323201</v>
      </c>
      <c r="F318">
        <v>92.006269592476499</v>
      </c>
      <c r="G318">
        <v>4</v>
      </c>
    </row>
    <row r="319" spans="1:7" x14ac:dyDescent="0.25">
      <c r="A319">
        <v>295</v>
      </c>
      <c r="B319">
        <v>2.6741614343749101</v>
      </c>
      <c r="C319">
        <v>1.3258385656250899</v>
      </c>
      <c r="D319">
        <v>1.2731675933514901</v>
      </c>
      <c r="F319">
        <v>92.319749216301005</v>
      </c>
      <c r="G319">
        <v>4</v>
      </c>
    </row>
    <row r="320" spans="1:7" x14ac:dyDescent="0.25">
      <c r="A320">
        <v>296</v>
      </c>
      <c r="B320">
        <v>2.1636946235106702</v>
      </c>
      <c r="C320">
        <v>0.83630537648933101</v>
      </c>
      <c r="D320">
        <v>0.80308186162153905</v>
      </c>
      <c r="F320">
        <v>92.633228840125398</v>
      </c>
      <c r="G320">
        <v>4</v>
      </c>
    </row>
    <row r="321" spans="1:7" x14ac:dyDescent="0.25">
      <c r="A321">
        <v>297</v>
      </c>
      <c r="B321">
        <v>2.14336156395842</v>
      </c>
      <c r="C321">
        <v>-1.14336156395842</v>
      </c>
      <c r="D321">
        <v>-1.09793977069088</v>
      </c>
      <c r="F321">
        <v>92.946708463949903</v>
      </c>
      <c r="G321">
        <v>4</v>
      </c>
    </row>
    <row r="322" spans="1:7" x14ac:dyDescent="0.25">
      <c r="A322">
        <v>298</v>
      </c>
      <c r="B322">
        <v>2.6441969255610802</v>
      </c>
      <c r="C322">
        <v>1.35580307443892</v>
      </c>
      <c r="D322">
        <v>1.3019417160550899</v>
      </c>
      <c r="F322">
        <v>93.260188087774296</v>
      </c>
      <c r="G322">
        <v>4</v>
      </c>
    </row>
    <row r="323" spans="1:7" x14ac:dyDescent="0.25">
      <c r="A323">
        <v>299</v>
      </c>
      <c r="B323">
        <v>2.4865265339454301</v>
      </c>
      <c r="C323">
        <v>-0.486526533945427</v>
      </c>
      <c r="D323">
        <v>-0.46719852053247302</v>
      </c>
      <c r="F323">
        <v>93.573667711598802</v>
      </c>
      <c r="G323">
        <v>4</v>
      </c>
    </row>
    <row r="324" spans="1:7" x14ac:dyDescent="0.25">
      <c r="A324">
        <v>300</v>
      </c>
      <c r="B324">
        <v>2.50721631384069</v>
      </c>
      <c r="C324">
        <v>1.49278368615931</v>
      </c>
      <c r="D324">
        <v>1.4334805627001399</v>
      </c>
      <c r="F324">
        <v>93.887147335423194</v>
      </c>
      <c r="G324">
        <v>4</v>
      </c>
    </row>
    <row r="325" spans="1:7" x14ac:dyDescent="0.25">
      <c r="A325">
        <v>301</v>
      </c>
      <c r="B325">
        <v>2.1576303776793</v>
      </c>
      <c r="C325">
        <v>-1.1576303776793</v>
      </c>
      <c r="D325">
        <v>-1.11164173388307</v>
      </c>
      <c r="F325">
        <v>94.2006269592477</v>
      </c>
      <c r="G325">
        <v>4</v>
      </c>
    </row>
    <row r="326" spans="1:7" x14ac:dyDescent="0.25">
      <c r="A326">
        <v>302</v>
      </c>
      <c r="B326">
        <v>2.1636946235106702</v>
      </c>
      <c r="C326">
        <v>-1.16369462351067</v>
      </c>
      <c r="D326">
        <v>-1.11746506823976</v>
      </c>
      <c r="F326">
        <v>94.514106583072106</v>
      </c>
      <c r="G326">
        <v>4</v>
      </c>
    </row>
    <row r="327" spans="1:7" x14ac:dyDescent="0.25">
      <c r="A327">
        <v>303</v>
      </c>
      <c r="B327">
        <v>2.7554936725838899</v>
      </c>
      <c r="C327">
        <v>0.244506327416113</v>
      </c>
      <c r="D327">
        <v>0.234792938225338</v>
      </c>
      <c r="F327">
        <v>94.827586206896598</v>
      </c>
      <c r="G327">
        <v>4</v>
      </c>
    </row>
    <row r="328" spans="1:7" x14ac:dyDescent="0.25">
      <c r="A328">
        <v>304</v>
      </c>
      <c r="B328">
        <v>2.56179452632303</v>
      </c>
      <c r="C328">
        <v>0.43820547367696699</v>
      </c>
      <c r="D328">
        <v>0.42079708855935699</v>
      </c>
      <c r="F328">
        <v>95.141065830721004</v>
      </c>
      <c r="G328">
        <v>4</v>
      </c>
    </row>
    <row r="329" spans="1:7" x14ac:dyDescent="0.25">
      <c r="A329">
        <v>305</v>
      </c>
      <c r="B329">
        <v>2.1656209133629898</v>
      </c>
      <c r="C329">
        <v>1.83437908663701</v>
      </c>
      <c r="D329">
        <v>1.76150556152124</v>
      </c>
      <c r="F329">
        <v>95.454545454545496</v>
      </c>
      <c r="G329">
        <v>4</v>
      </c>
    </row>
    <row r="330" spans="1:7" x14ac:dyDescent="0.25">
      <c r="A330">
        <v>306</v>
      </c>
      <c r="B330">
        <v>2.2803421756788098</v>
      </c>
      <c r="C330">
        <v>-1.28034217567881</v>
      </c>
      <c r="D330">
        <v>-1.22947861733593</v>
      </c>
      <c r="F330">
        <v>95.768025078369902</v>
      </c>
      <c r="G330">
        <v>4</v>
      </c>
    </row>
    <row r="331" spans="1:7" x14ac:dyDescent="0.25">
      <c r="A331">
        <v>307</v>
      </c>
      <c r="B331">
        <v>2.8382527921649499</v>
      </c>
      <c r="C331">
        <v>1.1617472078350499</v>
      </c>
      <c r="D331">
        <v>1.11559501664127</v>
      </c>
      <c r="F331">
        <v>96.081504702194394</v>
      </c>
      <c r="G331">
        <v>4</v>
      </c>
    </row>
    <row r="332" spans="1:7" x14ac:dyDescent="0.25">
      <c r="A332">
        <v>308</v>
      </c>
      <c r="B332">
        <v>2.1687600523815802</v>
      </c>
      <c r="C332">
        <v>-0.16876005238157901</v>
      </c>
      <c r="D332">
        <v>-0.16205580024233601</v>
      </c>
      <c r="F332">
        <v>96.3949843260188</v>
      </c>
      <c r="G332">
        <v>4</v>
      </c>
    </row>
    <row r="333" spans="1:7" x14ac:dyDescent="0.25">
      <c r="A333">
        <v>309</v>
      </c>
      <c r="B333">
        <v>3.6187569026967199</v>
      </c>
      <c r="C333">
        <v>0.38124309730328099</v>
      </c>
      <c r="D333">
        <v>0.36609763002831303</v>
      </c>
      <c r="F333">
        <v>96.708463949843306</v>
      </c>
      <c r="G333">
        <v>4</v>
      </c>
    </row>
    <row r="334" spans="1:7" x14ac:dyDescent="0.25">
      <c r="A334">
        <v>310</v>
      </c>
      <c r="B334">
        <v>2.2382491752022302</v>
      </c>
      <c r="C334">
        <v>-1.23824917520223</v>
      </c>
      <c r="D334">
        <v>-1.1890578259189599</v>
      </c>
      <c r="F334">
        <v>97.021943573667699</v>
      </c>
      <c r="G334">
        <v>4</v>
      </c>
    </row>
    <row r="335" spans="1:7" x14ac:dyDescent="0.25">
      <c r="A335">
        <v>311</v>
      </c>
      <c r="B335">
        <v>2.2107103647209501</v>
      </c>
      <c r="C335">
        <v>1.7892896352790499</v>
      </c>
      <c r="D335">
        <v>1.7182073578339101</v>
      </c>
      <c r="F335">
        <v>97.335423197492204</v>
      </c>
      <c r="G335">
        <v>4</v>
      </c>
    </row>
    <row r="336" spans="1:7" x14ac:dyDescent="0.25">
      <c r="A336">
        <v>312</v>
      </c>
      <c r="B336">
        <v>2.1620893819670699</v>
      </c>
      <c r="C336">
        <v>-1.1620893819670699</v>
      </c>
      <c r="D336">
        <v>-1.1159235973806301</v>
      </c>
      <c r="F336">
        <v>97.648902821316597</v>
      </c>
      <c r="G336">
        <v>4</v>
      </c>
    </row>
    <row r="337" spans="1:7" x14ac:dyDescent="0.25">
      <c r="A337">
        <v>313</v>
      </c>
      <c r="B337">
        <v>2.3060260403763801</v>
      </c>
      <c r="C337">
        <v>-1.3060260403763799</v>
      </c>
      <c r="D337">
        <v>-1.25414215108188</v>
      </c>
      <c r="F337">
        <v>97.962382445141102</v>
      </c>
      <c r="G337">
        <v>4</v>
      </c>
    </row>
    <row r="338" spans="1:7" x14ac:dyDescent="0.25">
      <c r="A338">
        <v>314</v>
      </c>
      <c r="B338">
        <v>2.1620893819670699</v>
      </c>
      <c r="C338">
        <v>-1.1620893819670699</v>
      </c>
      <c r="D338">
        <v>-1.1159235973806301</v>
      </c>
      <c r="F338">
        <v>98.275862068965495</v>
      </c>
      <c r="G338">
        <v>4</v>
      </c>
    </row>
    <row r="339" spans="1:7" x14ac:dyDescent="0.25">
      <c r="A339">
        <v>315</v>
      </c>
      <c r="B339">
        <v>2.4601292285618102</v>
      </c>
      <c r="C339">
        <v>-0.46012922856181099</v>
      </c>
      <c r="D339">
        <v>-0.44184988862691599</v>
      </c>
      <c r="F339">
        <v>98.589341692790001</v>
      </c>
      <c r="G339">
        <v>4</v>
      </c>
    </row>
    <row r="340" spans="1:7" x14ac:dyDescent="0.25">
      <c r="A340">
        <v>316</v>
      </c>
      <c r="B340">
        <v>2.50721631384069</v>
      </c>
      <c r="C340">
        <v>-0.50721631384069299</v>
      </c>
      <c r="D340">
        <v>-0.48706636716115298</v>
      </c>
      <c r="F340">
        <v>98.902821316614407</v>
      </c>
      <c r="G340">
        <v>4</v>
      </c>
    </row>
    <row r="341" spans="1:7" x14ac:dyDescent="0.25">
      <c r="A341">
        <v>317</v>
      </c>
      <c r="B341">
        <v>3.2520483900702799</v>
      </c>
      <c r="C341">
        <v>-0.25204839007027702</v>
      </c>
      <c r="D341">
        <v>-0.24203538086297599</v>
      </c>
      <c r="F341">
        <v>99.216300940438899</v>
      </c>
      <c r="G341">
        <v>4</v>
      </c>
    </row>
    <row r="342" spans="1:7" x14ac:dyDescent="0.25">
      <c r="A342">
        <v>318</v>
      </c>
      <c r="B342">
        <v>2.3313531847309301</v>
      </c>
      <c r="C342">
        <v>-0.33135318473093001</v>
      </c>
      <c r="D342">
        <v>-0.31818967081737498</v>
      </c>
      <c r="F342">
        <v>99.529780564263305</v>
      </c>
      <c r="G342">
        <v>4</v>
      </c>
    </row>
    <row r="343" spans="1:7" ht="15" customHeight="1" x14ac:dyDescent="0.25">
      <c r="A343" s="24">
        <v>319</v>
      </c>
      <c r="B343" s="24">
        <v>2.1551333352781499</v>
      </c>
      <c r="C343" s="24">
        <v>-0.15513333527814499</v>
      </c>
      <c r="D343" s="24">
        <v>-0.14897042539379199</v>
      </c>
      <c r="F343" s="24">
        <v>99.843260188087797</v>
      </c>
      <c r="G343" s="24">
        <v>4</v>
      </c>
    </row>
  </sheetData>
  <mergeCells count="1">
    <mergeCell ref="A3:B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855A"/>
  </sheetPr>
  <dimension ref="A1:V75"/>
  <sheetViews>
    <sheetView zoomScale="106" zoomScaleNormal="106" workbookViewId="0">
      <selection sqref="A1:L2"/>
    </sheetView>
  </sheetViews>
  <sheetFormatPr defaultColWidth="8.7109375" defaultRowHeight="15" x14ac:dyDescent="0.25"/>
  <cols>
    <col min="1" max="1" width="15.28515625" customWidth="1"/>
    <col min="2" max="2" width="13.85546875" customWidth="1"/>
    <col min="3" max="3" width="14" customWidth="1"/>
    <col min="5" max="6" width="16" customWidth="1"/>
    <col min="7" max="7" width="13.140625" customWidth="1"/>
    <col min="8" max="9" width="19.7109375" customWidth="1"/>
    <col min="10" max="10" width="13.140625" customWidth="1"/>
    <col min="11" max="11" width="18.5703125" customWidth="1"/>
    <col min="12" max="12" width="13.140625" customWidth="1"/>
    <col min="13" max="13" width="20.140625" customWidth="1"/>
    <col min="14" max="14" width="19.7109375" customWidth="1"/>
    <col min="15" max="15" width="15" customWidth="1"/>
    <col min="16" max="16" width="12.42578125" customWidth="1"/>
  </cols>
  <sheetData>
    <row r="1" spans="1:12" x14ac:dyDescent="0.25">
      <c r="A1" s="68" t="s">
        <v>466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4" spans="1:12" ht="15" customHeight="1" x14ac:dyDescent="0.25">
      <c r="A4" s="25" t="s">
        <v>418</v>
      </c>
      <c r="B4" s="26"/>
      <c r="C4" s="25" t="s">
        <v>419</v>
      </c>
      <c r="D4" s="26"/>
      <c r="E4" s="25" t="s">
        <v>467</v>
      </c>
      <c r="F4" s="26"/>
      <c r="G4" s="25" t="s">
        <v>468</v>
      </c>
      <c r="H4" s="26"/>
      <c r="I4" s="25" t="s">
        <v>469</v>
      </c>
      <c r="J4" s="26"/>
      <c r="K4" s="25" t="s">
        <v>470</v>
      </c>
    </row>
    <row r="5" spans="1:12" x14ac:dyDescent="0.25">
      <c r="A5" s="27">
        <f>Analysis!B5</f>
        <v>13739070</v>
      </c>
      <c r="B5" s="26"/>
      <c r="C5" s="27">
        <f>Analysis!B6</f>
        <v>7749870</v>
      </c>
      <c r="D5" s="26"/>
      <c r="E5" s="28">
        <f>Analysis!B8</f>
        <v>244000</v>
      </c>
      <c r="F5" s="26"/>
      <c r="G5" s="29">
        <f>Analysis!B9</f>
        <v>765</v>
      </c>
      <c r="H5" s="26"/>
      <c r="I5" s="30">
        <f>Analysis!B10</f>
        <v>320</v>
      </c>
      <c r="J5" s="26"/>
      <c r="K5" s="31">
        <f>Analysis!B7</f>
        <v>42934.59375</v>
      </c>
    </row>
    <row r="8" spans="1:12" ht="15" customHeight="1" x14ac:dyDescent="0.25">
      <c r="A8" t="s">
        <v>471</v>
      </c>
      <c r="B8" t="s">
        <v>472</v>
      </c>
      <c r="C8" t="s">
        <v>473</v>
      </c>
      <c r="F8" s="2" t="s">
        <v>7</v>
      </c>
      <c r="G8" s="3" t="s">
        <v>418</v>
      </c>
      <c r="H8" s="3" t="s">
        <v>419</v>
      </c>
      <c r="J8" s="3" t="s">
        <v>409</v>
      </c>
      <c r="K8" s="4" t="s">
        <v>474</v>
      </c>
    </row>
    <row r="9" spans="1:12" x14ac:dyDescent="0.25">
      <c r="A9" s="32" t="s">
        <v>29</v>
      </c>
      <c r="B9">
        <v>4622700</v>
      </c>
      <c r="C9">
        <v>2614500</v>
      </c>
      <c r="F9" s="5" t="s">
        <v>54</v>
      </c>
      <c r="G9" s="7">
        <f>SUMIF(Clean_Data!G$5:G$324,F9,Clean_Data!L$5:L$324)</f>
        <v>7203550</v>
      </c>
      <c r="H9" s="7">
        <f>SUMIF(Clean_Data!G$5:G$324,F9,Clean_Data!M$5:M$324)</f>
        <v>4103550</v>
      </c>
      <c r="J9" t="s">
        <v>475</v>
      </c>
      <c r="K9" s="20">
        <f>SUMIF(Clean_Data!R$5:R$324,J9,Clean_Data!L$5:L$324)</f>
        <v>1198425</v>
      </c>
    </row>
    <row r="10" spans="1:12" x14ac:dyDescent="0.25">
      <c r="A10" s="32" t="s">
        <v>20</v>
      </c>
      <c r="B10">
        <v>4499650</v>
      </c>
      <c r="C10">
        <v>2421750</v>
      </c>
      <c r="F10" s="5" t="s">
        <v>77</v>
      </c>
      <c r="G10" s="7">
        <f>SUMIF(Clean_Data!G$5:G$324,F10,Clean_Data!L$5:L$324)</f>
        <v>3269350</v>
      </c>
      <c r="H10" s="7">
        <f>SUMIF(Clean_Data!G$5:G$324,F10,Clean_Data!M$5:M$324)</f>
        <v>1697350</v>
      </c>
      <c r="J10" t="s">
        <v>476</v>
      </c>
      <c r="K10" s="20">
        <f>SUMIF(Clean_Data!R$5:R$324,J10,Clean_Data!L$5:L$324)</f>
        <v>1082585</v>
      </c>
    </row>
    <row r="11" spans="1:12" x14ac:dyDescent="0.25">
      <c r="A11" s="32" t="s">
        <v>43</v>
      </c>
      <c r="B11">
        <v>4616720</v>
      </c>
      <c r="C11">
        <v>2713620</v>
      </c>
      <c r="F11" s="5" t="s">
        <v>21</v>
      </c>
      <c r="G11" s="7">
        <f>SUMIF(Clean_Data!G$5:G$324,F11,Clean_Data!L$5:L$324)</f>
        <v>189390</v>
      </c>
      <c r="H11" s="7">
        <f>SUMIF(Clean_Data!G$5:G$324,F11,Clean_Data!M$5:M$324)</f>
        <v>104190</v>
      </c>
      <c r="J11" t="s">
        <v>477</v>
      </c>
      <c r="K11" s="20">
        <f>SUMIF(Clean_Data!R$5:R$324,J11,Clean_Data!L$5:L$324)</f>
        <v>1174210</v>
      </c>
    </row>
    <row r="12" spans="1:12" x14ac:dyDescent="0.25">
      <c r="A12" s="32" t="s">
        <v>478</v>
      </c>
      <c r="B12">
        <v>13739070</v>
      </c>
      <c r="C12">
        <v>7749870</v>
      </c>
      <c r="F12" s="5" t="s">
        <v>30</v>
      </c>
      <c r="G12" s="7">
        <f>SUMIF(Clean_Data!G$5:G$324,F12,Clean_Data!L$5:L$324)</f>
        <v>611905</v>
      </c>
      <c r="H12" s="7">
        <f>SUMIF(Clean_Data!G$5:G$324,F12,Clean_Data!M$5:M$324)</f>
        <v>377405</v>
      </c>
      <c r="J12" t="s">
        <v>479</v>
      </c>
      <c r="K12" s="20">
        <f>SUMIF(Clean_Data!R$5:R$324,J12,Clean_Data!L$5:L$324)</f>
        <v>1281480</v>
      </c>
    </row>
    <row r="13" spans="1:12" x14ac:dyDescent="0.25">
      <c r="F13" s="5" t="s">
        <v>48</v>
      </c>
      <c r="G13" s="7">
        <f>SUMIF(Clean_Data!G$5:G$324,F13,Clean_Data!L$5:L$324)</f>
        <v>2464875</v>
      </c>
      <c r="H13" s="7">
        <f>SUMIF(Clean_Data!G$5:G$324,F13,Clean_Data!M$5:M$324)</f>
        <v>1467375</v>
      </c>
      <c r="J13" t="s">
        <v>480</v>
      </c>
      <c r="K13" s="20">
        <f>SUMIF(Clean_Data!R$5:R$324,J13,Clean_Data!L$5:L$324)</f>
        <v>1545880</v>
      </c>
    </row>
    <row r="14" spans="1:12" x14ac:dyDescent="0.25">
      <c r="J14" t="s">
        <v>481</v>
      </c>
      <c r="K14" s="20">
        <f>SUMIF(Clean_Data!R$5:R$324,J14,Clean_Data!L$5:L$324)</f>
        <v>1307730</v>
      </c>
    </row>
    <row r="15" spans="1:12" x14ac:dyDescent="0.25">
      <c r="J15" t="s">
        <v>482</v>
      </c>
      <c r="K15" s="20">
        <f>SUMIF(Clean_Data!R$5:R$324,J15,Clean_Data!L$5:L$324)</f>
        <v>900495</v>
      </c>
    </row>
    <row r="16" spans="1:12" x14ac:dyDescent="0.25">
      <c r="J16" t="s">
        <v>483</v>
      </c>
      <c r="K16" s="20">
        <f>SUMIF(Clean_Data!R$5:R$324,J16,Clean_Data!L$5:L$324)</f>
        <v>1055330</v>
      </c>
    </row>
    <row r="17" spans="1:11" x14ac:dyDescent="0.25">
      <c r="J17" t="s">
        <v>484</v>
      </c>
      <c r="K17" s="20">
        <f>SUMIF(Clean_Data!R$5:R$324,J17,Clean_Data!L$5:L$324)</f>
        <v>1015040</v>
      </c>
    </row>
    <row r="18" spans="1:11" x14ac:dyDescent="0.25">
      <c r="J18" t="s">
        <v>485</v>
      </c>
      <c r="K18" s="20">
        <f>SUMIF(Clean_Data!R$5:R$324,J18,Clean_Data!L$5:L$324)</f>
        <v>814770</v>
      </c>
    </row>
    <row r="19" spans="1:11" x14ac:dyDescent="0.25">
      <c r="J19" t="s">
        <v>486</v>
      </c>
      <c r="K19" s="20">
        <f>SUMIF(Clean_Data!R$5:R$324,J19,Clean_Data!L$5:L$324)</f>
        <v>1338145</v>
      </c>
    </row>
    <row r="20" spans="1:11" x14ac:dyDescent="0.25">
      <c r="J20" s="12" t="s">
        <v>487</v>
      </c>
      <c r="K20" s="21">
        <f>SUMIF(Clean_Data!R$5:R$324,J20,Clean_Data!L$5:L$324)</f>
        <v>1024980</v>
      </c>
    </row>
    <row r="32" spans="1:11" ht="15" customHeight="1" x14ac:dyDescent="0.25">
      <c r="A32" s="3" t="s">
        <v>5</v>
      </c>
      <c r="B32" s="3" t="s">
        <v>488</v>
      </c>
      <c r="C32" s="3" t="s">
        <v>489</v>
      </c>
      <c r="F32" t="s">
        <v>471</v>
      </c>
      <c r="G32" t="s">
        <v>472</v>
      </c>
      <c r="I32" s="33" t="s">
        <v>6</v>
      </c>
      <c r="J32" s="34" t="s">
        <v>490</v>
      </c>
    </row>
    <row r="33" spans="1:11" x14ac:dyDescent="0.25">
      <c r="A33" t="s">
        <v>72</v>
      </c>
      <c r="B33">
        <f>COUNTIF(Clean_Data!E$5:E$324,A33)</f>
        <v>45</v>
      </c>
      <c r="C33" s="7">
        <f>SUMIF(Clean_Data!E$5:E$324,A33,Clean_Data!L$5:L$324)</f>
        <v>1718335</v>
      </c>
      <c r="F33" s="32" t="s">
        <v>38</v>
      </c>
      <c r="G33">
        <v>2552815</v>
      </c>
    </row>
    <row r="34" spans="1:11" x14ac:dyDescent="0.25">
      <c r="A34" t="s">
        <v>42</v>
      </c>
      <c r="B34">
        <f>COUNTIF(Clean_Data!E$5:E$324,A34)</f>
        <v>56</v>
      </c>
      <c r="C34" s="7">
        <f>SUMIF(Clean_Data!E$5:E$324,A34,Clean_Data!L$5:L$324)</f>
        <v>2898385</v>
      </c>
      <c r="F34" s="32" t="s">
        <v>58</v>
      </c>
      <c r="G34">
        <v>2332890</v>
      </c>
      <c r="I34" s="35"/>
      <c r="J34" s="36" t="s">
        <v>491</v>
      </c>
      <c r="K34" s="37"/>
    </row>
    <row r="35" spans="1:11" x14ac:dyDescent="0.25">
      <c r="A35" t="s">
        <v>28</v>
      </c>
      <c r="B35">
        <f>COUNTIF(Clean_Data!E$5:E$324,A35)</f>
        <v>57</v>
      </c>
      <c r="C35" s="7">
        <f>SUMIF(Clean_Data!E$5:E$324,A35,Clean_Data!L$5:L$324)</f>
        <v>2519510</v>
      </c>
      <c r="F35" s="32" t="s">
        <v>50</v>
      </c>
      <c r="G35">
        <v>3169205</v>
      </c>
      <c r="I35" s="38" t="s">
        <v>15</v>
      </c>
      <c r="J35" s="39" t="s">
        <v>473</v>
      </c>
      <c r="K35" s="40" t="s">
        <v>472</v>
      </c>
    </row>
    <row r="36" spans="1:11" x14ac:dyDescent="0.25">
      <c r="A36" t="s">
        <v>87</v>
      </c>
      <c r="B36">
        <f>COUNTIF(Clean_Data!E$5:E$324,A36)</f>
        <v>48</v>
      </c>
      <c r="C36" s="7">
        <f>SUMIF(Clean_Data!E$5:E$324,A36,Clean_Data!L$5:L$324)</f>
        <v>1871540</v>
      </c>
      <c r="F36" s="32" t="s">
        <v>23</v>
      </c>
      <c r="G36">
        <v>3698300</v>
      </c>
      <c r="I36" s="41" t="s">
        <v>51</v>
      </c>
      <c r="J36" s="42">
        <v>1161910</v>
      </c>
      <c r="K36" s="43">
        <v>1845010</v>
      </c>
    </row>
    <row r="37" spans="1:11" x14ac:dyDescent="0.25">
      <c r="A37" t="s">
        <v>36</v>
      </c>
      <c r="B37">
        <f>COUNTIF(Clean_Data!E$5:E$324,A37)</f>
        <v>55</v>
      </c>
      <c r="C37" s="7">
        <f>SUMIF(Clean_Data!E$5:E$324,A37,Clean_Data!L$5:L$324)</f>
        <v>2103190</v>
      </c>
      <c r="F37" s="32" t="s">
        <v>73</v>
      </c>
      <c r="G37">
        <v>1985860</v>
      </c>
      <c r="I37" s="44" t="s">
        <v>97</v>
      </c>
      <c r="J37" s="45">
        <v>746450</v>
      </c>
      <c r="K37" s="46">
        <v>1539250</v>
      </c>
    </row>
    <row r="38" spans="1:11" x14ac:dyDescent="0.25">
      <c r="A38" t="s">
        <v>19</v>
      </c>
      <c r="B38">
        <f>COUNTIF(Clean_Data!E$5:E$324,A38)</f>
        <v>59</v>
      </c>
      <c r="C38" s="7">
        <f>SUMIF(Clean_Data!E$5:E$324,A38,Clean_Data!L$5:L$324)</f>
        <v>2628110</v>
      </c>
      <c r="F38" s="32" t="s">
        <v>478</v>
      </c>
      <c r="G38">
        <v>13739070</v>
      </c>
      <c r="I38" s="44" t="s">
        <v>32</v>
      </c>
      <c r="J38" s="45">
        <v>1443910</v>
      </c>
      <c r="K38" s="46">
        <v>2724910</v>
      </c>
    </row>
    <row r="39" spans="1:11" x14ac:dyDescent="0.25">
      <c r="I39" s="44" t="s">
        <v>59</v>
      </c>
      <c r="J39" s="45">
        <v>1105455</v>
      </c>
      <c r="K39" s="46">
        <v>2071455</v>
      </c>
    </row>
    <row r="40" spans="1:11" x14ac:dyDescent="0.25">
      <c r="A40" s="35"/>
      <c r="B40" s="36" t="s">
        <v>491</v>
      </c>
      <c r="C40" s="37"/>
      <c r="I40" s="44" t="s">
        <v>74</v>
      </c>
      <c r="J40" s="45">
        <v>1358035</v>
      </c>
      <c r="K40" s="46">
        <v>2256035</v>
      </c>
    </row>
    <row r="41" spans="1:11" x14ac:dyDescent="0.25">
      <c r="A41" s="38" t="s">
        <v>5</v>
      </c>
      <c r="B41" s="39" t="s">
        <v>492</v>
      </c>
      <c r="C41" s="40" t="s">
        <v>493</v>
      </c>
      <c r="I41" s="44" t="s">
        <v>24</v>
      </c>
      <c r="J41" s="45">
        <v>648415</v>
      </c>
      <c r="K41" s="46">
        <v>1058315</v>
      </c>
    </row>
    <row r="42" spans="1:11" x14ac:dyDescent="0.25">
      <c r="A42" s="41" t="s">
        <v>28</v>
      </c>
      <c r="B42" s="47">
        <v>57</v>
      </c>
      <c r="C42" s="43">
        <v>2519510</v>
      </c>
      <c r="I42" s="44" t="s">
        <v>79</v>
      </c>
      <c r="J42" s="45">
        <v>551395</v>
      </c>
      <c r="K42" s="46">
        <v>1060195</v>
      </c>
    </row>
    <row r="43" spans="1:11" x14ac:dyDescent="0.25">
      <c r="A43" s="44" t="s">
        <v>42</v>
      </c>
      <c r="B43" s="48">
        <v>56</v>
      </c>
      <c r="C43" s="46">
        <v>2898385</v>
      </c>
      <c r="I43" s="44" t="s">
        <v>39</v>
      </c>
      <c r="J43" s="49">
        <v>734300</v>
      </c>
      <c r="K43" s="50">
        <v>1183900</v>
      </c>
    </row>
    <row r="44" spans="1:11" x14ac:dyDescent="0.25">
      <c r="A44" s="44" t="s">
        <v>87</v>
      </c>
      <c r="B44" s="48">
        <v>48</v>
      </c>
      <c r="C44" s="46">
        <v>1871540</v>
      </c>
      <c r="I44" s="51" t="s">
        <v>494</v>
      </c>
      <c r="J44" s="52">
        <v>7749870</v>
      </c>
      <c r="K44" s="53">
        <v>13739070</v>
      </c>
    </row>
    <row r="45" spans="1:11" x14ac:dyDescent="0.25">
      <c r="A45" s="44" t="s">
        <v>72</v>
      </c>
      <c r="B45" s="48">
        <v>45</v>
      </c>
      <c r="C45" s="46">
        <v>1718335</v>
      </c>
    </row>
    <row r="46" spans="1:11" x14ac:dyDescent="0.25">
      <c r="A46" s="44" t="s">
        <v>36</v>
      </c>
      <c r="B46" s="48">
        <v>55</v>
      </c>
      <c r="C46" s="46">
        <v>2103190</v>
      </c>
    </row>
    <row r="47" spans="1:11" x14ac:dyDescent="0.25">
      <c r="A47" s="44" t="s">
        <v>19</v>
      </c>
      <c r="B47" s="54">
        <v>59</v>
      </c>
      <c r="C47" s="50">
        <v>2628110</v>
      </c>
    </row>
    <row r="48" spans="1:11" x14ac:dyDescent="0.25">
      <c r="A48" s="51" t="s">
        <v>494</v>
      </c>
      <c r="B48" s="55">
        <v>320</v>
      </c>
      <c r="C48" s="53">
        <v>13739070</v>
      </c>
    </row>
    <row r="63" spans="18:22" x14ac:dyDescent="0.25">
      <c r="R63" s="56"/>
      <c r="V63" s="56"/>
    </row>
    <row r="69" spans="15:19" x14ac:dyDescent="0.25">
      <c r="O69" s="5"/>
    </row>
    <row r="75" spans="15:19" x14ac:dyDescent="0.25">
      <c r="O75" s="12"/>
      <c r="P75" s="12"/>
      <c r="Q75" s="12"/>
      <c r="R75" s="12"/>
      <c r="S75" s="12"/>
    </row>
  </sheetData>
  <mergeCells count="1">
    <mergeCell ref="A1:L2"/>
  </mergeCells>
  <pageMargins left="0.7" right="0.7" top="0.75" bottom="0.75" header="0.511811023622047" footer="0.511811023622047"/>
  <pageSetup paperSize="9" orientation="portrait" horizontalDpi="300" verticalDpi="30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C7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14.140625" customWidth="1"/>
    <col min="2" max="2" width="12" customWidth="1"/>
  </cols>
  <sheetData>
    <row r="1" spans="1:3" ht="15" customHeight="1" x14ac:dyDescent="0.25">
      <c r="A1" s="57" t="s">
        <v>5</v>
      </c>
      <c r="B1" s="57" t="s">
        <v>7</v>
      </c>
      <c r="C1" s="57" t="s">
        <v>6</v>
      </c>
    </row>
    <row r="2" spans="1:3" x14ac:dyDescent="0.25">
      <c r="A2" t="s">
        <v>72</v>
      </c>
      <c r="B2" t="s">
        <v>54</v>
      </c>
      <c r="C2" t="s">
        <v>495</v>
      </c>
    </row>
    <row r="3" spans="1:3" x14ac:dyDescent="0.25">
      <c r="A3" t="s">
        <v>42</v>
      </c>
      <c r="B3" t="s">
        <v>77</v>
      </c>
      <c r="C3" t="s">
        <v>29</v>
      </c>
    </row>
    <row r="4" spans="1:3" x14ac:dyDescent="0.25">
      <c r="A4" t="s">
        <v>28</v>
      </c>
      <c r="B4" t="s">
        <v>21</v>
      </c>
      <c r="C4" t="s">
        <v>20</v>
      </c>
    </row>
    <row r="5" spans="1:3" x14ac:dyDescent="0.25">
      <c r="A5" t="s">
        <v>87</v>
      </c>
      <c r="B5" t="s">
        <v>30</v>
      </c>
      <c r="C5" t="s">
        <v>43</v>
      </c>
    </row>
    <row r="6" spans="1:3" x14ac:dyDescent="0.25">
      <c r="A6" t="s">
        <v>36</v>
      </c>
      <c r="B6" t="s">
        <v>48</v>
      </c>
    </row>
    <row r="7" spans="1:3" x14ac:dyDescent="0.25">
      <c r="A7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4332"/>
  </sheetPr>
  <dimension ref="A1:O135"/>
  <sheetViews>
    <sheetView tabSelected="1" topLeftCell="A71" zoomScaleNormal="100" workbookViewId="0">
      <selection activeCell="K11" sqref="K11"/>
    </sheetView>
  </sheetViews>
  <sheetFormatPr defaultColWidth="8.7109375" defaultRowHeight="15" x14ac:dyDescent="0.25"/>
  <cols>
    <col min="1" max="2" width="16" customWidth="1"/>
    <col min="3" max="3" width="15.7109375" customWidth="1"/>
    <col min="4" max="12" width="16" customWidth="1"/>
  </cols>
  <sheetData>
    <row r="1" spans="1:12" x14ac:dyDescent="0.25">
      <c r="A1" s="68" t="s">
        <v>496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4" spans="1:12" ht="15" customHeight="1" x14ac:dyDescent="0.25">
      <c r="A4" s="57" t="s">
        <v>497</v>
      </c>
      <c r="B4" s="57" t="s">
        <v>498</v>
      </c>
      <c r="D4" s="66" t="s">
        <v>499</v>
      </c>
      <c r="E4" s="66"/>
      <c r="F4" s="66"/>
      <c r="G4" s="66" t="s">
        <v>500</v>
      </c>
      <c r="H4" s="66"/>
      <c r="I4" s="66"/>
      <c r="J4" s="66" t="s">
        <v>501</v>
      </c>
      <c r="K4" s="66"/>
      <c r="L4" s="66"/>
    </row>
    <row r="5" spans="1:12" x14ac:dyDescent="0.25">
      <c r="A5" t="s">
        <v>5</v>
      </c>
      <c r="B5" t="s">
        <v>495</v>
      </c>
      <c r="D5" s="67">
        <f>SUMPRODUCT(--((($B$5="All")+(Clean_Data!$E$5:$E$324=$B$5))&gt;0)*--((($B$6="All")+(Clean_Data!$G$5:$G$324=$B$6))&gt;0)*--((($B$7="All")+(Clean_Data!$F$5:$F$324=$B$7))&gt;0),Clean_Data!$L$5:$L$324)</f>
        <v>13739070</v>
      </c>
      <c r="E5" s="67"/>
      <c r="F5" s="67"/>
      <c r="G5" s="67">
        <f>SUMPRODUCT(--((($B$5="All")+(Clean_Data!$E$5:$E$324=$B$5))&gt;0)*--((($B$6="All")+(Clean_Data!$G$5:$G$324=$B$6))&gt;0)*--((($B$7="All")+(Clean_Data!$F$5:$F$324=$B$7))&gt;0),Clean_Data!$M$5:$M$324)</f>
        <v>7749870</v>
      </c>
      <c r="H5" s="67"/>
      <c r="I5" s="67"/>
      <c r="J5" s="69">
        <f>SUMPRODUCT(--((($B$5="All")+(Clean_Data!$E$5:$E$324=$B$5))&gt;0)*--((($B$6="All")+(Clean_Data!$G$5:$G$324=$B$6))&gt;0)*--((($B$7="All")+(Clean_Data!$F$5:$F$324=$B$7))&gt;0))</f>
        <v>320</v>
      </c>
      <c r="K5" s="69"/>
      <c r="L5" s="69"/>
    </row>
    <row r="6" spans="1:12" x14ac:dyDescent="0.25">
      <c r="A6" t="s">
        <v>7</v>
      </c>
      <c r="B6" t="s">
        <v>495</v>
      </c>
      <c r="D6" s="67"/>
      <c r="E6" s="67"/>
      <c r="F6" s="67"/>
      <c r="G6" s="67"/>
      <c r="H6" s="67"/>
      <c r="I6" s="67"/>
      <c r="J6" s="69"/>
      <c r="K6" s="69"/>
      <c r="L6" s="69"/>
    </row>
    <row r="7" spans="1:12" x14ac:dyDescent="0.25">
      <c r="A7" t="s">
        <v>6</v>
      </c>
      <c r="B7" t="s">
        <v>495</v>
      </c>
    </row>
    <row r="8" spans="1:12" ht="15" customHeight="1" x14ac:dyDescent="0.25">
      <c r="D8" s="66" t="s">
        <v>502</v>
      </c>
      <c r="E8" s="66"/>
      <c r="F8" s="66"/>
    </row>
    <row r="9" spans="1:12" x14ac:dyDescent="0.25">
      <c r="D9" s="67">
        <f>IFERROR(D5/J5,0)</f>
        <v>42934.59375</v>
      </c>
      <c r="E9" s="67"/>
      <c r="F9" s="67"/>
    </row>
    <row r="10" spans="1:12" x14ac:dyDescent="0.25">
      <c r="D10" s="67"/>
      <c r="E10" s="67"/>
      <c r="F10" s="67"/>
    </row>
    <row r="13" spans="1:12" ht="19.5" customHeight="1" x14ac:dyDescent="0.25">
      <c r="A13" s="58" t="s">
        <v>7</v>
      </c>
      <c r="B13" s="58" t="s">
        <v>489</v>
      </c>
      <c r="C13" s="56"/>
      <c r="D13" s="58" t="s">
        <v>14</v>
      </c>
      <c r="E13" s="58" t="s">
        <v>488</v>
      </c>
      <c r="F13" s="56"/>
      <c r="G13" s="58" t="s">
        <v>409</v>
      </c>
      <c r="H13" s="58" t="s">
        <v>489</v>
      </c>
    </row>
    <row r="14" spans="1:12" ht="18" customHeight="1" x14ac:dyDescent="0.25">
      <c r="A14" s="59" t="s">
        <v>54</v>
      </c>
      <c r="B14" s="60">
        <f>SUMIF(Clean_Data!G$5:G$324,A14,Clean_Data!L$5:L$324)</f>
        <v>7203550</v>
      </c>
      <c r="D14" s="59" t="s">
        <v>73</v>
      </c>
      <c r="E14" s="61">
        <f>COUNTIF(Clean_Data!N$5:N$324,D14)</f>
        <v>52</v>
      </c>
      <c r="G14" s="59" t="s">
        <v>475</v>
      </c>
      <c r="H14" s="60">
        <f>SUMIF(Clean_Data!R$5:R$324,G14,Clean_Data!L$5:L$324)</f>
        <v>1198425</v>
      </c>
    </row>
    <row r="15" spans="1:12" ht="18" customHeight="1" x14ac:dyDescent="0.25">
      <c r="A15" s="62" t="s">
        <v>77</v>
      </c>
      <c r="B15" s="63">
        <f>SUMIF(Clean_Data!G$5:G$324,A15,Clean_Data!L$5:L$324)</f>
        <v>3269350</v>
      </c>
      <c r="D15" s="62" t="s">
        <v>58</v>
      </c>
      <c r="E15" s="64">
        <f>COUNTIF(Clean_Data!N$5:N$324,D15)</f>
        <v>49</v>
      </c>
      <c r="G15" s="62" t="s">
        <v>476</v>
      </c>
      <c r="H15" s="63">
        <f>SUMIF(Clean_Data!R$5:R$324,G15,Clean_Data!L$5:L$324)</f>
        <v>1082585</v>
      </c>
    </row>
    <row r="16" spans="1:12" ht="18" customHeight="1" x14ac:dyDescent="0.25">
      <c r="A16" s="59" t="s">
        <v>21</v>
      </c>
      <c r="B16" s="60">
        <f>SUMIF(Clean_Data!G$5:G$324,A16,Clean_Data!L$5:L$324)</f>
        <v>189390</v>
      </c>
      <c r="D16" s="59" t="s">
        <v>50</v>
      </c>
      <c r="E16" s="61">
        <f>COUNTIF(Clean_Data!N$5:N$324,D16)</f>
        <v>81</v>
      </c>
      <c r="G16" s="59" t="s">
        <v>477</v>
      </c>
      <c r="H16" s="60">
        <f>SUMIF(Clean_Data!R$5:R$324,G16,Clean_Data!L$5:L$324)</f>
        <v>1174210</v>
      </c>
    </row>
    <row r="17" spans="1:8" ht="18" customHeight="1" x14ac:dyDescent="0.25">
      <c r="A17" s="62" t="s">
        <v>30</v>
      </c>
      <c r="B17" s="63">
        <f>SUMIF(Clean_Data!G$5:G$324,A17,Clean_Data!L$5:L$324)</f>
        <v>611905</v>
      </c>
      <c r="D17" s="62" t="s">
        <v>38</v>
      </c>
      <c r="E17" s="64">
        <f>COUNTIF(Clean_Data!N$5:N$324,D17)</f>
        <v>62</v>
      </c>
      <c r="G17" s="62" t="s">
        <v>479</v>
      </c>
      <c r="H17" s="63">
        <f>SUMIF(Clean_Data!R$5:R$324,G17,Clean_Data!L$5:L$324)</f>
        <v>1281480</v>
      </c>
    </row>
    <row r="18" spans="1:8" ht="18" customHeight="1" x14ac:dyDescent="0.25">
      <c r="A18" s="59" t="s">
        <v>48</v>
      </c>
      <c r="B18" s="60">
        <f>SUMIF(Clean_Data!G$5:G$324,A18,Clean_Data!L$5:L$324)</f>
        <v>2464875</v>
      </c>
      <c r="D18" s="59" t="s">
        <v>23</v>
      </c>
      <c r="E18" s="61">
        <f>COUNTIF(Clean_Data!N$5:N$324,D18)</f>
        <v>76</v>
      </c>
      <c r="G18" s="59" t="s">
        <v>480</v>
      </c>
      <c r="H18" s="60">
        <f>SUMIF(Clean_Data!R$5:R$324,G18,Clean_Data!L$5:L$324)</f>
        <v>1545880</v>
      </c>
    </row>
    <row r="19" spans="1:8" ht="18" customHeight="1" x14ac:dyDescent="0.25">
      <c r="A19" s="5"/>
      <c r="G19" s="62" t="s">
        <v>481</v>
      </c>
      <c r="H19" s="63">
        <f>SUMIF(Clean_Data!R$5:R$324,G19,Clean_Data!L$5:L$324)</f>
        <v>1307730</v>
      </c>
    </row>
    <row r="20" spans="1:8" ht="18" customHeight="1" x14ac:dyDescent="0.25">
      <c r="A20" s="5"/>
      <c r="G20" s="59" t="s">
        <v>482</v>
      </c>
      <c r="H20" s="60">
        <f>SUMIF(Clean_Data!R$5:R$324,G20,Clean_Data!L$5:L$324)</f>
        <v>900495</v>
      </c>
    </row>
    <row r="21" spans="1:8" ht="18" customHeight="1" x14ac:dyDescent="0.25">
      <c r="A21" s="5"/>
      <c r="G21" s="62" t="s">
        <v>483</v>
      </c>
      <c r="H21" s="63">
        <f>SUMIF(Clean_Data!R$5:R$324,G21,Clean_Data!L$5:L$324)</f>
        <v>1055330</v>
      </c>
    </row>
    <row r="22" spans="1:8" ht="18" customHeight="1" x14ac:dyDescent="0.25">
      <c r="A22" s="5"/>
      <c r="G22" s="59" t="s">
        <v>484</v>
      </c>
      <c r="H22" s="60">
        <f>SUMIF(Clean_Data!R$5:R$324,G22,Clean_Data!L$5:L$324)</f>
        <v>1015040</v>
      </c>
    </row>
    <row r="23" spans="1:8" ht="18" customHeight="1" x14ac:dyDescent="0.25">
      <c r="A23" s="5"/>
      <c r="G23" s="62" t="s">
        <v>485</v>
      </c>
      <c r="H23" s="63">
        <f>SUMIF(Clean_Data!R$5:R$324,G23,Clean_Data!L$5:L$324)</f>
        <v>814770</v>
      </c>
    </row>
    <row r="24" spans="1:8" ht="18" customHeight="1" x14ac:dyDescent="0.25">
      <c r="A24" s="5"/>
      <c r="G24" s="59" t="s">
        <v>486</v>
      </c>
      <c r="H24" s="60">
        <f>SUMIF(Clean_Data!R$5:R$324,G24,Clean_Data!L$5:L$324)</f>
        <v>1338145</v>
      </c>
    </row>
    <row r="25" spans="1:8" ht="18" customHeight="1" x14ac:dyDescent="0.25">
      <c r="A25" s="10"/>
      <c r="B25" s="12"/>
      <c r="C25" s="12"/>
      <c r="D25" s="12"/>
      <c r="E25" s="12"/>
      <c r="F25" s="12"/>
      <c r="G25" s="62" t="s">
        <v>487</v>
      </c>
      <c r="H25" s="63">
        <f>SUMIF(Clean_Data!R$5:R$324,G25,Clean_Data!L$5:L$324)</f>
        <v>1024980</v>
      </c>
    </row>
    <row r="64" spans="6:7" x14ac:dyDescent="0.25">
      <c r="F64" s="33" t="s">
        <v>6</v>
      </c>
      <c r="G64" s="34" t="s">
        <v>490</v>
      </c>
    </row>
    <row r="66" spans="1:8" x14ac:dyDescent="0.25">
      <c r="A66" t="s">
        <v>471</v>
      </c>
      <c r="B66" t="s">
        <v>472</v>
      </c>
      <c r="C66" t="s">
        <v>473</v>
      </c>
      <c r="F66" s="35"/>
      <c r="G66" s="36" t="s">
        <v>491</v>
      </c>
      <c r="H66" s="37"/>
    </row>
    <row r="67" spans="1:8" x14ac:dyDescent="0.25">
      <c r="A67" s="32" t="s">
        <v>29</v>
      </c>
      <c r="B67">
        <v>4622700</v>
      </c>
      <c r="C67">
        <v>2614500</v>
      </c>
      <c r="F67" s="38" t="s">
        <v>15</v>
      </c>
      <c r="G67" s="39" t="s">
        <v>473</v>
      </c>
      <c r="H67" s="40" t="s">
        <v>472</v>
      </c>
    </row>
    <row r="68" spans="1:8" x14ac:dyDescent="0.25">
      <c r="A68" s="32" t="s">
        <v>20</v>
      </c>
      <c r="B68">
        <v>4499650</v>
      </c>
      <c r="C68">
        <v>2421750</v>
      </c>
      <c r="F68" s="41" t="s">
        <v>51</v>
      </c>
      <c r="G68" s="42">
        <v>1161910</v>
      </c>
      <c r="H68" s="43">
        <v>1845010</v>
      </c>
    </row>
    <row r="69" spans="1:8" x14ac:dyDescent="0.25">
      <c r="A69" s="32" t="s">
        <v>43</v>
      </c>
      <c r="B69">
        <v>4616720</v>
      </c>
      <c r="C69">
        <v>2713620</v>
      </c>
      <c r="F69" s="44" t="s">
        <v>97</v>
      </c>
      <c r="G69" s="45">
        <v>746450</v>
      </c>
      <c r="H69" s="46">
        <v>1539250</v>
      </c>
    </row>
    <row r="70" spans="1:8" x14ac:dyDescent="0.25">
      <c r="A70" s="32" t="s">
        <v>478</v>
      </c>
      <c r="B70">
        <v>13739070</v>
      </c>
      <c r="C70">
        <v>7749870</v>
      </c>
      <c r="F70" s="44" t="s">
        <v>32</v>
      </c>
      <c r="G70" s="45">
        <v>1443910</v>
      </c>
      <c r="H70" s="46">
        <v>2724910</v>
      </c>
    </row>
    <row r="71" spans="1:8" x14ac:dyDescent="0.25">
      <c r="F71" s="44" t="s">
        <v>59</v>
      </c>
      <c r="G71" s="45">
        <v>1105455</v>
      </c>
      <c r="H71" s="46">
        <v>2071455</v>
      </c>
    </row>
    <row r="72" spans="1:8" x14ac:dyDescent="0.25">
      <c r="F72" s="44" t="s">
        <v>74</v>
      </c>
      <c r="G72" s="45">
        <v>1358035</v>
      </c>
      <c r="H72" s="46">
        <v>2256035</v>
      </c>
    </row>
    <row r="73" spans="1:8" x14ac:dyDescent="0.25">
      <c r="F73" s="44" t="s">
        <v>24</v>
      </c>
      <c r="G73" s="45">
        <v>648415</v>
      </c>
      <c r="H73" s="46">
        <v>1058315</v>
      </c>
    </row>
    <row r="74" spans="1:8" x14ac:dyDescent="0.25">
      <c r="F74" s="44" t="s">
        <v>79</v>
      </c>
      <c r="G74" s="45">
        <v>551395</v>
      </c>
      <c r="H74" s="46">
        <v>1060195</v>
      </c>
    </row>
    <row r="75" spans="1:8" x14ac:dyDescent="0.25">
      <c r="F75" s="44" t="s">
        <v>39</v>
      </c>
      <c r="G75" s="49">
        <v>734300</v>
      </c>
      <c r="H75" s="50">
        <v>1183900</v>
      </c>
    </row>
    <row r="76" spans="1:8" x14ac:dyDescent="0.25">
      <c r="F76" s="51" t="s">
        <v>494</v>
      </c>
      <c r="G76" s="52">
        <v>7749870</v>
      </c>
      <c r="H76" s="53">
        <v>13739070</v>
      </c>
    </row>
    <row r="90" spans="1:3" ht="15" customHeight="1" x14ac:dyDescent="0.25">
      <c r="A90" s="3" t="s">
        <v>5</v>
      </c>
      <c r="B90" s="3" t="s">
        <v>488</v>
      </c>
      <c r="C90" s="3" t="s">
        <v>489</v>
      </c>
    </row>
    <row r="91" spans="1:3" x14ac:dyDescent="0.25">
      <c r="A91" t="s">
        <v>72</v>
      </c>
      <c r="B91">
        <f>COUNTIF(Clean_Data!E$5:E$324,A91)</f>
        <v>45</v>
      </c>
      <c r="C91" s="7">
        <f>SUMIF(Clean_Data!E$5:E$324,A91,Clean_Data!L$5:L$324)</f>
        <v>1718335</v>
      </c>
    </row>
    <row r="92" spans="1:3" x14ac:dyDescent="0.25">
      <c r="A92" t="s">
        <v>42</v>
      </c>
      <c r="B92">
        <f>COUNTIF(Clean_Data!E$5:E$324,A92)</f>
        <v>56</v>
      </c>
      <c r="C92" s="7">
        <f>SUMIF(Clean_Data!E$5:E$324,A92,Clean_Data!L$5:L$324)</f>
        <v>2898385</v>
      </c>
    </row>
    <row r="93" spans="1:3" x14ac:dyDescent="0.25">
      <c r="A93" t="s">
        <v>28</v>
      </c>
      <c r="B93">
        <f>COUNTIF(Clean_Data!E$5:E$324,A93)</f>
        <v>57</v>
      </c>
      <c r="C93" s="7">
        <f>SUMIF(Clean_Data!E$5:E$324,A93,Clean_Data!L$5:L$324)</f>
        <v>2519510</v>
      </c>
    </row>
    <row r="94" spans="1:3" x14ac:dyDescent="0.25">
      <c r="A94" t="s">
        <v>87</v>
      </c>
      <c r="B94">
        <f>COUNTIF(Clean_Data!E$5:E$324,A94)</f>
        <v>48</v>
      </c>
      <c r="C94" s="7">
        <f>SUMIF(Clean_Data!E$5:E$324,A94,Clean_Data!L$5:L$324)</f>
        <v>1871540</v>
      </c>
    </row>
    <row r="95" spans="1:3" x14ac:dyDescent="0.25">
      <c r="A95" t="s">
        <v>36</v>
      </c>
      <c r="B95">
        <f>COUNTIF(Clean_Data!E$5:E$324,A95)</f>
        <v>55</v>
      </c>
      <c r="C95" s="7">
        <f>SUMIF(Clean_Data!E$5:E$324,A95,Clean_Data!L$5:L$324)</f>
        <v>2103190</v>
      </c>
    </row>
    <row r="96" spans="1:3" x14ac:dyDescent="0.25">
      <c r="A96" t="s">
        <v>19</v>
      </c>
      <c r="B96">
        <f>COUNTIF(Clean_Data!E$5:E$324,A96)</f>
        <v>59</v>
      </c>
      <c r="C96" s="7">
        <f>SUMIF(Clean_Data!E$5:E$324,A96,Clean_Data!L$5:L$324)</f>
        <v>2628110</v>
      </c>
    </row>
    <row r="98" spans="1:3" x14ac:dyDescent="0.25">
      <c r="A98" s="35"/>
      <c r="B98" s="36" t="s">
        <v>491</v>
      </c>
      <c r="C98" s="37"/>
    </row>
    <row r="99" spans="1:3" x14ac:dyDescent="0.25">
      <c r="A99" s="38" t="s">
        <v>5</v>
      </c>
      <c r="B99" s="39" t="s">
        <v>492</v>
      </c>
      <c r="C99" s="40" t="s">
        <v>493</v>
      </c>
    </row>
    <row r="100" spans="1:3" x14ac:dyDescent="0.25">
      <c r="A100" s="41" t="s">
        <v>28</v>
      </c>
      <c r="B100" s="47">
        <v>57</v>
      </c>
      <c r="C100" s="43">
        <v>2519510</v>
      </c>
    </row>
    <row r="101" spans="1:3" x14ac:dyDescent="0.25">
      <c r="A101" s="44" t="s">
        <v>42</v>
      </c>
      <c r="B101" s="48">
        <v>56</v>
      </c>
      <c r="C101" s="46">
        <v>2898385</v>
      </c>
    </row>
    <row r="102" spans="1:3" x14ac:dyDescent="0.25">
      <c r="A102" s="44" t="s">
        <v>87</v>
      </c>
      <c r="B102" s="48">
        <v>48</v>
      </c>
      <c r="C102" s="46">
        <v>1871540</v>
      </c>
    </row>
    <row r="103" spans="1:3" x14ac:dyDescent="0.25">
      <c r="A103" s="44" t="s">
        <v>72</v>
      </c>
      <c r="B103" s="48">
        <v>45</v>
      </c>
      <c r="C103" s="46">
        <v>1718335</v>
      </c>
    </row>
    <row r="104" spans="1:3" x14ac:dyDescent="0.25">
      <c r="A104" s="44" t="s">
        <v>36</v>
      </c>
      <c r="B104" s="48">
        <v>55</v>
      </c>
      <c r="C104" s="46">
        <v>2103190</v>
      </c>
    </row>
    <row r="105" spans="1:3" x14ac:dyDescent="0.25">
      <c r="A105" s="44" t="s">
        <v>19</v>
      </c>
      <c r="B105" s="54">
        <v>59</v>
      </c>
      <c r="C105" s="50">
        <v>2628110</v>
      </c>
    </row>
    <row r="106" spans="1:3" x14ac:dyDescent="0.25">
      <c r="A106" s="51" t="s">
        <v>494</v>
      </c>
      <c r="B106" s="55">
        <v>320</v>
      </c>
      <c r="C106" s="53">
        <v>13739070</v>
      </c>
    </row>
    <row r="129" spans="15:15" x14ac:dyDescent="0.25">
      <c r="O129" s="5"/>
    </row>
    <row r="135" spans="15:15" x14ac:dyDescent="0.25">
      <c r="O135" s="12"/>
    </row>
  </sheetData>
  <mergeCells count="9">
    <mergeCell ref="D8:F8"/>
    <mergeCell ref="D9:F10"/>
    <mergeCell ref="A1:L2"/>
    <mergeCell ref="D4:F4"/>
    <mergeCell ref="G4:I4"/>
    <mergeCell ref="J4:L4"/>
    <mergeCell ref="D5:F6"/>
    <mergeCell ref="G5:I6"/>
    <mergeCell ref="J5:L6"/>
  </mergeCells>
  <dataValidations count="3">
    <dataValidation type="list" sqref="B5" xr:uid="{00000000-0002-0000-0600-000000000000}">
      <formula1>"All,Maharashtra,Gujarat,Delhi,Karnataka,Rajasthan,Tamil Nadu"</formula1>
      <formula2>0</formula2>
    </dataValidation>
    <dataValidation type="list" sqref="B6" xr:uid="{00000000-0002-0000-0600-000001000000}">
      <formula1>"All,Laptop,Mobile,Accessories,Audio,Monitor"</formula1>
      <formula2>0</formula2>
    </dataValidation>
    <dataValidation type="list" sqref="B7" xr:uid="{00000000-0002-0000-0600-000002000000}">
      <formula1>"All,North,South,West"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CA3AF"/>
  </sheetPr>
  <dimension ref="A1:P89"/>
  <sheetViews>
    <sheetView showGridLines="0" topLeftCell="A46" zoomScaleNormal="100" workbookViewId="0">
      <selection activeCell="C3" sqref="C3"/>
    </sheetView>
  </sheetViews>
  <sheetFormatPr defaultColWidth="8.7109375" defaultRowHeight="15" x14ac:dyDescent="0.25"/>
  <cols>
    <col min="1" max="1" width="25" customWidth="1"/>
    <col min="2" max="2" width="16.7109375" customWidth="1"/>
    <col min="3" max="3" width="18.42578125" customWidth="1"/>
    <col min="5" max="5" width="16.42578125" customWidth="1"/>
    <col min="7" max="7" width="15.42578125" customWidth="1"/>
    <col min="8" max="8" width="15.85546875" customWidth="1"/>
    <col min="10" max="10" width="16.140625" customWidth="1"/>
    <col min="11" max="11" width="18.5703125" customWidth="1"/>
    <col min="15" max="15" width="27.28515625" customWidth="1"/>
  </cols>
  <sheetData>
    <row r="1" spans="1:16" ht="14.25" customHeight="1" x14ac:dyDescent="0.25">
      <c r="A1" s="68" t="s">
        <v>503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ht="14.2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1:16" x14ac:dyDescent="0.25">
      <c r="A4" s="65" t="s">
        <v>504</v>
      </c>
      <c r="B4" s="72" t="s">
        <v>505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x14ac:dyDescent="0.25">
      <c r="A5" s="65" t="s">
        <v>506</v>
      </c>
      <c r="B5" s="72" t="s">
        <v>507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1:16" x14ac:dyDescent="0.25">
      <c r="A6" s="65" t="s">
        <v>508</v>
      </c>
      <c r="B6" s="72" t="s">
        <v>509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spans="1:16" x14ac:dyDescent="0.25">
      <c r="A7" s="65" t="s">
        <v>510</v>
      </c>
      <c r="B7" s="72" t="s">
        <v>511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16" x14ac:dyDescent="0.25">
      <c r="A8" s="65" t="s">
        <v>512</v>
      </c>
      <c r="B8" s="72" t="s">
        <v>513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1:16" x14ac:dyDescent="0.25">
      <c r="A9" s="65" t="s">
        <v>514</v>
      </c>
      <c r="B9" s="72" t="s">
        <v>515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 x14ac:dyDescent="0.25">
      <c r="A10" s="65" t="s">
        <v>516</v>
      </c>
      <c r="B10" s="72" t="s">
        <v>517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1:16" x14ac:dyDescent="0.25">
      <c r="A11" s="65" t="s">
        <v>518</v>
      </c>
      <c r="B11" s="72" t="s">
        <v>519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1:16" x14ac:dyDescent="0.25">
      <c r="A12" s="65" t="s">
        <v>520</v>
      </c>
      <c r="B12" s="72" t="s">
        <v>521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</row>
    <row r="13" spans="1:16" x14ac:dyDescent="0.25">
      <c r="A13" s="65" t="s">
        <v>522</v>
      </c>
      <c r="B13" s="72" t="s">
        <v>523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6" spans="1:16" ht="15" customHeight="1" x14ac:dyDescent="0.25">
      <c r="A16" s="25" t="s">
        <v>418</v>
      </c>
      <c r="B16" s="26"/>
      <c r="C16" s="25" t="s">
        <v>419</v>
      </c>
      <c r="D16" s="26"/>
      <c r="E16" s="25" t="s">
        <v>467</v>
      </c>
      <c r="F16" s="26"/>
      <c r="G16" s="25" t="s">
        <v>468</v>
      </c>
      <c r="H16" s="26"/>
      <c r="I16" s="25" t="s">
        <v>469</v>
      </c>
      <c r="J16" s="26"/>
      <c r="K16" s="25" t="s">
        <v>470</v>
      </c>
    </row>
    <row r="17" spans="1:11" x14ac:dyDescent="0.25">
      <c r="A17" s="27">
        <f>Analysis!B5</f>
        <v>13739070</v>
      </c>
      <c r="B17" s="26"/>
      <c r="C17" s="27">
        <f>Analysis!B6</f>
        <v>7749870</v>
      </c>
      <c r="D17" s="26"/>
      <c r="E17" s="28">
        <f>Analysis!B8</f>
        <v>244000</v>
      </c>
      <c r="F17" s="26"/>
      <c r="G17" s="29">
        <f>Analysis!B9</f>
        <v>765</v>
      </c>
      <c r="H17" s="26"/>
      <c r="I17" s="30">
        <f>Analysis!B10</f>
        <v>320</v>
      </c>
      <c r="J17" s="26"/>
      <c r="K17" s="31">
        <f>Analysis!B7</f>
        <v>42934.59375</v>
      </c>
    </row>
    <row r="20" spans="1:11" ht="15" customHeight="1" x14ac:dyDescent="0.25">
      <c r="A20" t="s">
        <v>471</v>
      </c>
      <c r="B20" t="s">
        <v>472</v>
      </c>
      <c r="C20" t="s">
        <v>473</v>
      </c>
      <c r="F20" s="2" t="s">
        <v>7</v>
      </c>
      <c r="G20" s="3" t="s">
        <v>418</v>
      </c>
      <c r="H20" s="3" t="s">
        <v>419</v>
      </c>
      <c r="J20" s="3" t="s">
        <v>409</v>
      </c>
      <c r="K20" s="4" t="s">
        <v>474</v>
      </c>
    </row>
    <row r="21" spans="1:11" x14ac:dyDescent="0.25">
      <c r="A21" s="32" t="s">
        <v>29</v>
      </c>
      <c r="B21">
        <v>4622700</v>
      </c>
      <c r="C21">
        <v>2614500</v>
      </c>
      <c r="F21" s="5" t="s">
        <v>54</v>
      </c>
      <c r="G21" s="7">
        <f>SUMIF(Clean_Data!G$5:G$324,F21,Clean_Data!L$5:L$324)</f>
        <v>7203550</v>
      </c>
      <c r="H21" s="7">
        <f>SUMIF(Clean_Data!G$5:G$324,F21,Clean_Data!M$5:M$324)</f>
        <v>4103550</v>
      </c>
      <c r="J21" t="s">
        <v>475</v>
      </c>
      <c r="K21" s="20">
        <f>SUMIF(Clean_Data!R$5:R$324,J21,Clean_Data!L$5:L$324)</f>
        <v>1198425</v>
      </c>
    </row>
    <row r="22" spans="1:11" x14ac:dyDescent="0.25">
      <c r="A22" s="32" t="s">
        <v>20</v>
      </c>
      <c r="B22">
        <v>4499650</v>
      </c>
      <c r="C22">
        <v>2421750</v>
      </c>
      <c r="F22" s="5" t="s">
        <v>77</v>
      </c>
      <c r="G22" s="7">
        <f>SUMIF(Clean_Data!G$5:G$324,F22,Clean_Data!L$5:L$324)</f>
        <v>3269350</v>
      </c>
      <c r="H22" s="7">
        <f>SUMIF(Clean_Data!G$5:G$324,F22,Clean_Data!M$5:M$324)</f>
        <v>1697350</v>
      </c>
      <c r="J22" t="s">
        <v>476</v>
      </c>
      <c r="K22" s="20">
        <f>SUMIF(Clean_Data!R$5:R$324,J22,Clean_Data!L$5:L$324)</f>
        <v>1082585</v>
      </c>
    </row>
    <row r="23" spans="1:11" x14ac:dyDescent="0.25">
      <c r="A23" s="32" t="s">
        <v>43</v>
      </c>
      <c r="B23">
        <v>4616720</v>
      </c>
      <c r="C23">
        <v>2713620</v>
      </c>
      <c r="F23" s="5" t="s">
        <v>21</v>
      </c>
      <c r="G23" s="7">
        <f>SUMIF(Clean_Data!G$5:G$324,F23,Clean_Data!L$5:L$324)</f>
        <v>189390</v>
      </c>
      <c r="H23" s="7">
        <f>SUMIF(Clean_Data!G$5:G$324,F23,Clean_Data!M$5:M$324)</f>
        <v>104190</v>
      </c>
      <c r="J23" t="s">
        <v>477</v>
      </c>
      <c r="K23" s="20">
        <f>SUMIF(Clean_Data!R$5:R$324,J23,Clean_Data!L$5:L$324)</f>
        <v>1174210</v>
      </c>
    </row>
    <row r="24" spans="1:11" x14ac:dyDescent="0.25">
      <c r="A24" s="32" t="s">
        <v>478</v>
      </c>
      <c r="B24">
        <v>13739070</v>
      </c>
      <c r="C24">
        <v>7749870</v>
      </c>
      <c r="F24" s="5" t="s">
        <v>30</v>
      </c>
      <c r="G24" s="7">
        <f>SUMIF(Clean_Data!G$5:G$324,F24,Clean_Data!L$5:L$324)</f>
        <v>611905</v>
      </c>
      <c r="H24" s="7">
        <f>SUMIF(Clean_Data!G$5:G$324,F24,Clean_Data!M$5:M$324)</f>
        <v>377405</v>
      </c>
      <c r="J24" t="s">
        <v>479</v>
      </c>
      <c r="K24" s="20">
        <f>SUMIF(Clean_Data!R$5:R$324,J24,Clean_Data!L$5:L$324)</f>
        <v>1281480</v>
      </c>
    </row>
    <row r="25" spans="1:11" x14ac:dyDescent="0.25">
      <c r="F25" s="5" t="s">
        <v>48</v>
      </c>
      <c r="G25" s="7">
        <f>SUMIF(Clean_Data!G$5:G$324,F25,Clean_Data!L$5:L$324)</f>
        <v>2464875</v>
      </c>
      <c r="H25" s="7">
        <f>SUMIF(Clean_Data!G$5:G$324,F25,Clean_Data!M$5:M$324)</f>
        <v>1467375</v>
      </c>
      <c r="J25" t="s">
        <v>480</v>
      </c>
      <c r="K25" s="20">
        <f>SUMIF(Clean_Data!R$5:R$324,J25,Clean_Data!L$5:L$324)</f>
        <v>1545880</v>
      </c>
    </row>
    <row r="26" spans="1:11" x14ac:dyDescent="0.25">
      <c r="J26" t="s">
        <v>481</v>
      </c>
      <c r="K26" s="20">
        <f>SUMIF(Clean_Data!R$5:R$324,J26,Clean_Data!L$5:L$324)</f>
        <v>1307730</v>
      </c>
    </row>
    <row r="27" spans="1:11" x14ac:dyDescent="0.25">
      <c r="J27" t="s">
        <v>482</v>
      </c>
      <c r="K27" s="20">
        <f>SUMIF(Clean_Data!R$5:R$324,J27,Clean_Data!L$5:L$324)</f>
        <v>900495</v>
      </c>
    </row>
    <row r="28" spans="1:11" x14ac:dyDescent="0.25">
      <c r="J28" t="s">
        <v>483</v>
      </c>
      <c r="K28" s="20">
        <f>SUMIF(Clean_Data!R$5:R$324,J28,Clean_Data!L$5:L$324)</f>
        <v>1055330</v>
      </c>
    </row>
    <row r="29" spans="1:11" x14ac:dyDescent="0.25">
      <c r="J29" t="s">
        <v>484</v>
      </c>
      <c r="K29" s="20">
        <f>SUMIF(Clean_Data!R$5:R$324,J29,Clean_Data!L$5:L$324)</f>
        <v>1015040</v>
      </c>
    </row>
    <row r="30" spans="1:11" x14ac:dyDescent="0.25">
      <c r="J30" t="s">
        <v>485</v>
      </c>
      <c r="K30" s="20">
        <f>SUMIF(Clean_Data!R$5:R$324,J30,Clean_Data!L$5:L$324)</f>
        <v>814770</v>
      </c>
    </row>
    <row r="31" spans="1:11" x14ac:dyDescent="0.25">
      <c r="J31" t="s">
        <v>486</v>
      </c>
      <c r="K31" s="20">
        <f>SUMIF(Clean_Data!R$5:R$324,J31,Clean_Data!L$5:L$324)</f>
        <v>1338145</v>
      </c>
    </row>
    <row r="32" spans="1:11" x14ac:dyDescent="0.25">
      <c r="J32" s="12" t="s">
        <v>487</v>
      </c>
      <c r="K32" s="21">
        <f>SUMIF(Clean_Data!R$5:R$324,J32,Clean_Data!L$5:L$324)</f>
        <v>1024980</v>
      </c>
    </row>
    <row r="44" spans="1:11" ht="15" customHeight="1" x14ac:dyDescent="0.25">
      <c r="A44" s="3" t="s">
        <v>5</v>
      </c>
      <c r="B44" s="3" t="s">
        <v>488</v>
      </c>
      <c r="C44" s="3" t="s">
        <v>489</v>
      </c>
      <c r="F44" t="s">
        <v>471</v>
      </c>
      <c r="G44" t="s">
        <v>472</v>
      </c>
      <c r="I44" s="33" t="s">
        <v>6</v>
      </c>
      <c r="J44" s="34" t="s">
        <v>490</v>
      </c>
    </row>
    <row r="45" spans="1:11" x14ac:dyDescent="0.25">
      <c r="A45" t="s">
        <v>72</v>
      </c>
      <c r="B45">
        <f>COUNTIF(Clean_Data!E$5:E$324,A45)</f>
        <v>45</v>
      </c>
      <c r="C45" s="7">
        <f>SUMIF(Clean_Data!E$5:E$324,A45,Clean_Data!L$5:L$324)</f>
        <v>1718335</v>
      </c>
      <c r="F45" s="32" t="s">
        <v>38</v>
      </c>
      <c r="G45">
        <v>2552815</v>
      </c>
    </row>
    <row r="46" spans="1:11" x14ac:dyDescent="0.25">
      <c r="A46" t="s">
        <v>42</v>
      </c>
      <c r="B46">
        <f>COUNTIF(Clean_Data!E$5:E$324,A46)</f>
        <v>56</v>
      </c>
      <c r="C46" s="7">
        <f>SUMIF(Clean_Data!E$5:E$324,A46,Clean_Data!L$5:L$324)</f>
        <v>2898385</v>
      </c>
      <c r="F46" s="32" t="s">
        <v>58</v>
      </c>
      <c r="G46">
        <v>2332890</v>
      </c>
      <c r="I46" s="35"/>
      <c r="J46" s="36" t="s">
        <v>491</v>
      </c>
      <c r="K46" s="37"/>
    </row>
    <row r="47" spans="1:11" x14ac:dyDescent="0.25">
      <c r="A47" t="s">
        <v>28</v>
      </c>
      <c r="B47">
        <f>COUNTIF(Clean_Data!E$5:E$324,A47)</f>
        <v>57</v>
      </c>
      <c r="C47" s="7">
        <f>SUMIF(Clean_Data!E$5:E$324,A47,Clean_Data!L$5:L$324)</f>
        <v>2519510</v>
      </c>
      <c r="F47" s="32" t="s">
        <v>50</v>
      </c>
      <c r="G47">
        <v>3169205</v>
      </c>
      <c r="I47" s="38" t="s">
        <v>15</v>
      </c>
      <c r="J47" s="39" t="s">
        <v>473</v>
      </c>
      <c r="K47" s="40" t="s">
        <v>472</v>
      </c>
    </row>
    <row r="48" spans="1:11" x14ac:dyDescent="0.25">
      <c r="A48" t="s">
        <v>87</v>
      </c>
      <c r="B48">
        <f>COUNTIF(Clean_Data!E$5:E$324,A48)</f>
        <v>48</v>
      </c>
      <c r="C48" s="7">
        <f>SUMIF(Clean_Data!E$5:E$324,A48,Clean_Data!L$5:L$324)</f>
        <v>1871540</v>
      </c>
      <c r="F48" s="32" t="s">
        <v>23</v>
      </c>
      <c r="G48">
        <v>3698300</v>
      </c>
      <c r="I48" s="41" t="s">
        <v>51</v>
      </c>
      <c r="J48" s="42">
        <v>1161910</v>
      </c>
      <c r="K48" s="43">
        <v>1845010</v>
      </c>
    </row>
    <row r="49" spans="1:11" x14ac:dyDescent="0.25">
      <c r="A49" t="s">
        <v>36</v>
      </c>
      <c r="B49">
        <f>COUNTIF(Clean_Data!E$5:E$324,A49)</f>
        <v>55</v>
      </c>
      <c r="C49" s="7">
        <f>SUMIF(Clean_Data!E$5:E$324,A49,Clean_Data!L$5:L$324)</f>
        <v>2103190</v>
      </c>
      <c r="F49" s="32" t="s">
        <v>73</v>
      </c>
      <c r="G49">
        <v>1985860</v>
      </c>
      <c r="I49" s="44" t="s">
        <v>97</v>
      </c>
      <c r="J49" s="45">
        <v>746450</v>
      </c>
      <c r="K49" s="46">
        <v>1539250</v>
      </c>
    </row>
    <row r="50" spans="1:11" x14ac:dyDescent="0.25">
      <c r="A50" t="s">
        <v>19</v>
      </c>
      <c r="B50">
        <f>COUNTIF(Clean_Data!E$5:E$324,A50)</f>
        <v>59</v>
      </c>
      <c r="C50" s="7">
        <f>SUMIF(Clean_Data!E$5:E$324,A50,Clean_Data!L$5:L$324)</f>
        <v>2628110</v>
      </c>
      <c r="F50" s="32" t="s">
        <v>478</v>
      </c>
      <c r="G50">
        <v>13739070</v>
      </c>
      <c r="I50" s="44" t="s">
        <v>32</v>
      </c>
      <c r="J50" s="45">
        <v>1443910</v>
      </c>
      <c r="K50" s="46">
        <v>2724910</v>
      </c>
    </row>
    <row r="51" spans="1:11" x14ac:dyDescent="0.25">
      <c r="I51" s="44" t="s">
        <v>59</v>
      </c>
      <c r="J51" s="45">
        <v>1105455</v>
      </c>
      <c r="K51" s="46">
        <v>2071455</v>
      </c>
    </row>
    <row r="52" spans="1:11" x14ac:dyDescent="0.25">
      <c r="A52" s="35"/>
      <c r="B52" s="36" t="s">
        <v>491</v>
      </c>
      <c r="C52" s="37"/>
      <c r="I52" s="44" t="s">
        <v>74</v>
      </c>
      <c r="J52" s="45">
        <v>1358035</v>
      </c>
      <c r="K52" s="46">
        <v>2256035</v>
      </c>
    </row>
    <row r="53" spans="1:11" x14ac:dyDescent="0.25">
      <c r="A53" s="38" t="s">
        <v>5</v>
      </c>
      <c r="B53" s="39" t="s">
        <v>492</v>
      </c>
      <c r="C53" s="40" t="s">
        <v>493</v>
      </c>
      <c r="I53" s="44" t="s">
        <v>24</v>
      </c>
      <c r="J53" s="45">
        <v>648415</v>
      </c>
      <c r="K53" s="46">
        <v>1058315</v>
      </c>
    </row>
    <row r="54" spans="1:11" x14ac:dyDescent="0.25">
      <c r="A54" s="41" t="s">
        <v>28</v>
      </c>
      <c r="B54" s="47">
        <v>57</v>
      </c>
      <c r="C54" s="43">
        <v>2519510</v>
      </c>
      <c r="I54" s="44" t="s">
        <v>79</v>
      </c>
      <c r="J54" s="45">
        <v>551395</v>
      </c>
      <c r="K54" s="46">
        <v>1060195</v>
      </c>
    </row>
    <row r="55" spans="1:11" x14ac:dyDescent="0.25">
      <c r="A55" s="44" t="s">
        <v>42</v>
      </c>
      <c r="B55" s="48">
        <v>56</v>
      </c>
      <c r="C55" s="46">
        <v>2898385</v>
      </c>
      <c r="I55" s="44" t="s">
        <v>39</v>
      </c>
      <c r="J55" s="49">
        <v>734300</v>
      </c>
      <c r="K55" s="50">
        <v>1183900</v>
      </c>
    </row>
    <row r="56" spans="1:11" x14ac:dyDescent="0.25">
      <c r="A56" s="44" t="s">
        <v>87</v>
      </c>
      <c r="B56" s="48">
        <v>48</v>
      </c>
      <c r="C56" s="46">
        <v>1871540</v>
      </c>
      <c r="I56" s="51" t="s">
        <v>494</v>
      </c>
      <c r="J56" s="52">
        <v>7749870</v>
      </c>
      <c r="K56" s="53">
        <v>13739070</v>
      </c>
    </row>
    <row r="57" spans="1:11" x14ac:dyDescent="0.25">
      <c r="A57" s="44" t="s">
        <v>72</v>
      </c>
      <c r="B57" s="48">
        <v>45</v>
      </c>
      <c r="C57" s="46">
        <v>1718335</v>
      </c>
    </row>
    <row r="58" spans="1:11" x14ac:dyDescent="0.25">
      <c r="A58" s="44" t="s">
        <v>36</v>
      </c>
      <c r="B58" s="48">
        <v>55</v>
      </c>
      <c r="C58" s="46">
        <v>2103190</v>
      </c>
    </row>
    <row r="59" spans="1:11" x14ac:dyDescent="0.25">
      <c r="A59" s="44" t="s">
        <v>19</v>
      </c>
      <c r="B59" s="54">
        <v>59</v>
      </c>
      <c r="C59" s="50">
        <v>2628110</v>
      </c>
    </row>
    <row r="60" spans="1:11" x14ac:dyDescent="0.25">
      <c r="A60" s="51" t="s">
        <v>494</v>
      </c>
      <c r="B60" s="55">
        <v>320</v>
      </c>
      <c r="C60" s="53">
        <v>13739070</v>
      </c>
    </row>
    <row r="83" spans="15:15" x14ac:dyDescent="0.25">
      <c r="O83" s="5"/>
    </row>
    <row r="89" spans="15:15" x14ac:dyDescent="0.25">
      <c r="O89" s="12"/>
    </row>
  </sheetData>
  <mergeCells count="11">
    <mergeCell ref="A1:P2"/>
    <mergeCell ref="B4:P4"/>
    <mergeCell ref="B5:P5"/>
    <mergeCell ref="B6:P6"/>
    <mergeCell ref="B7:P7"/>
    <mergeCell ref="B13:P13"/>
    <mergeCell ref="B8:P8"/>
    <mergeCell ref="B9:P9"/>
    <mergeCell ref="B10:P10"/>
    <mergeCell ref="B11:P11"/>
    <mergeCell ref="B12:P12"/>
  </mergeCells>
  <pageMargins left="0.7" right="0.7" top="0.75" bottom="0.75" header="0.511811023622047" footer="0.511811023622047"/>
  <pageSetup paperSize="9" orientation="portrait" horizontalDpi="3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Analysis</vt:lpstr>
      <vt:lpstr>Summary output</vt:lpstr>
      <vt:lpstr>Pivot_Reports</vt:lpstr>
      <vt:lpstr>Lists</vt:lpstr>
      <vt:lpstr>Dashboard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Tej Patel</cp:lastModifiedBy>
  <cp:revision>1</cp:revision>
  <dcterms:created xsi:type="dcterms:W3CDTF">2026-07-15T05:11:34Z</dcterms:created>
  <dcterms:modified xsi:type="dcterms:W3CDTF">2026-07-15T05:23:37Z</dcterms:modified>
  <dc:language>en-US</dc:language>
</cp:coreProperties>
</file>